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bastian\01_GitHub\sschlenkrich\QuantLibXlOil\tests\workbooks\"/>
    </mc:Choice>
  </mc:AlternateContent>
  <xr:revisionPtr revIDLastSave="0" documentId="13_ncr:1_{2BEE558A-B37D-4A08-A81C-F0469726BDD2}" xr6:coauthVersionLast="47" xr6:coauthVersionMax="47" xr10:uidLastSave="{00000000-0000-0000-0000-000000000000}"/>
  <bookViews>
    <workbookView xWindow="3570" yWindow="-19950" windowWidth="33045" windowHeight="18270" xr2:uid="{096EF196-26B4-4940-94D5-2518E57D2FCB}"/>
  </bookViews>
  <sheets>
    <sheet name="GSR Model and Engin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0" i="1" l="1" a="1"/>
  <c r="B79" i="1" a="1"/>
  <c r="B77" i="1" a="1"/>
  <c r="E66" i="1" a="1"/>
  <c r="D66" i="1" a="1"/>
  <c r="C66" i="1" a="1"/>
  <c r="B66" i="1" a="1"/>
  <c r="B75" i="1" a="1"/>
  <c r="B80" i="1" l="1"/>
  <c r="B79" i="1"/>
  <c r="B77" i="1"/>
  <c r="E66" i="1"/>
  <c r="D66" i="1"/>
  <c r="C66" i="1"/>
  <c r="B66" i="1"/>
  <c r="B75" i="1"/>
  <c r="B68" i="1" l="1" a="1"/>
  <c r="B2" i="1" a="1"/>
  <c r="B68" i="1" l="1"/>
  <c r="B2" i="1"/>
  <c r="B17" i="1" a="1"/>
  <c r="B4" i="1" a="1"/>
  <c r="B22" i="1" a="1"/>
  <c r="B23" i="1" a="1"/>
  <c r="B23" i="1" l="1"/>
  <c r="B22" i="1"/>
  <c r="B4" i="1"/>
  <c r="B17" i="1"/>
  <c r="B8" i="1"/>
  <c r="C8" i="1" s="1"/>
  <c r="D8" i="1" s="1"/>
  <c r="B25" i="1" a="1"/>
  <c r="B26" i="1" a="1"/>
  <c r="B13" i="1" a="1"/>
  <c r="B18" i="1" a="1"/>
  <c r="B18" i="1" l="1"/>
  <c r="B13" i="1"/>
  <c r="B26" i="1"/>
  <c r="B25" i="1"/>
  <c r="D56" i="1"/>
  <c r="B56" i="1"/>
  <c r="E56" i="1"/>
  <c r="C56" i="1"/>
  <c r="B15" i="1" a="1"/>
  <c r="B29" i="1" a="1"/>
  <c r="B27" i="1" a="1"/>
  <c r="B27" i="1" l="1"/>
  <c r="B33" i="1"/>
  <c r="B32" i="1"/>
  <c r="B29" i="1"/>
  <c r="B31" i="1"/>
  <c r="B30" i="1"/>
  <c r="B15" i="1"/>
  <c r="E52" i="1"/>
  <c r="D52" i="1"/>
  <c r="C52" i="1"/>
  <c r="B52" i="1"/>
  <c r="E65" i="1" a="1"/>
  <c r="D65" i="1" a="1"/>
  <c r="C65" i="1" a="1"/>
  <c r="B65" i="1" a="1"/>
  <c r="B36" i="1" a="1"/>
  <c r="B35" i="1" a="1"/>
  <c r="B35" i="1" l="1"/>
  <c r="B36" i="1"/>
  <c r="B65" i="1"/>
  <c r="C65" i="1"/>
  <c r="D65" i="1"/>
  <c r="E65" i="1"/>
  <c r="B41" i="1" a="1"/>
  <c r="B42" i="1" a="1"/>
  <c r="B42" i="1" l="1"/>
  <c r="B41" i="1"/>
  <c r="B44" i="1" a="1"/>
  <c r="B45" i="1" a="1"/>
  <c r="B45" i="1" l="1"/>
  <c r="B4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<sst xmlns="http://schemas.openxmlformats.org/spreadsheetml/2006/main" count="92" uniqueCount="65">
  <si>
    <t>Evaluation date</t>
  </si>
  <si>
    <t>Set evaluation date</t>
  </si>
  <si>
    <t>qlFlatForward</t>
  </si>
  <si>
    <t>vol_step_dates</t>
  </si>
  <si>
    <t>volatilities</t>
  </si>
  <si>
    <t>reversions</t>
  </si>
  <si>
    <t>T</t>
  </si>
  <si>
    <t>qlGsr</t>
  </si>
  <si>
    <t>qlGaussian1dSwaptionEngine</t>
  </si>
  <si>
    <t>Proj curve</t>
  </si>
  <si>
    <t>Euribor 6m</t>
  </si>
  <si>
    <t>Start term</t>
  </si>
  <si>
    <t>2y</t>
  </si>
  <si>
    <t>Swap term</t>
  </si>
  <si>
    <t>5y</t>
  </si>
  <si>
    <t>Start date</t>
  </si>
  <si>
    <t>End date</t>
  </si>
  <si>
    <t>Fixed rate</t>
  </si>
  <si>
    <t>Fixed schedule</t>
  </si>
  <si>
    <t>Float schedule</t>
  </si>
  <si>
    <t>Vanilla swap</t>
  </si>
  <si>
    <t>Exercise Dates</t>
  </si>
  <si>
    <t>EuropeanExercise</t>
  </si>
  <si>
    <t>BermudanExercise</t>
  </si>
  <si>
    <t>settlement_type</t>
  </si>
  <si>
    <t>settlement_method</t>
  </si>
  <si>
    <t>European swaption</t>
  </si>
  <si>
    <t>Bermudan swaption</t>
  </si>
  <si>
    <t>qlInstrumentNPV</t>
  </si>
  <si>
    <t>qlSwaptionHelper</t>
  </si>
  <si>
    <t>exercise</t>
  </si>
  <si>
    <t>1Y</t>
  </si>
  <si>
    <t>swap_length</t>
  </si>
  <si>
    <t>2Y</t>
  </si>
  <si>
    <t>volatility</t>
  </si>
  <si>
    <t>index</t>
  </si>
  <si>
    <t>fixed_leg_tenor</t>
  </si>
  <si>
    <t>1y</t>
  </si>
  <si>
    <t>fixed_leg_day_counter</t>
  </si>
  <si>
    <t>30/360</t>
  </si>
  <si>
    <t>floating_leg_day_counter</t>
  </si>
  <si>
    <t>Act/360</t>
  </si>
  <si>
    <t>term_structure</t>
  </si>
  <si>
    <t>error_type</t>
  </si>
  <si>
    <t>ImpliedVol</t>
  </si>
  <si>
    <t>strike</t>
  </si>
  <si>
    <t>nominal</t>
  </si>
  <si>
    <t>volatility_type</t>
  </si>
  <si>
    <t>Normal</t>
  </si>
  <si>
    <t>shift</t>
  </si>
  <si>
    <t>settlement_days</t>
  </si>
  <si>
    <t>averaging_method</t>
  </si>
  <si>
    <t>Compound</t>
  </si>
  <si>
    <t>3Y</t>
  </si>
  <si>
    <t>4Y</t>
  </si>
  <si>
    <t>qlLevenbergMarquardt</t>
  </si>
  <si>
    <t>max_iterations</t>
  </si>
  <si>
    <t>max_stationary_state_iterations</t>
  </si>
  <si>
    <t>root_epsilon</t>
  </si>
  <si>
    <t>function_epsilon</t>
  </si>
  <si>
    <t>gradient_norm_epsilon</t>
  </si>
  <si>
    <t>qlEndCriteria</t>
  </si>
  <si>
    <t>qlGsrCalibrateVolatilitiesIterative</t>
  </si>
  <si>
    <t>qlGsrVolatility</t>
  </si>
  <si>
    <t>qlGsrReversion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</si>
</sst>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10" fontId="0" fillId="0" borderId="0" xfId="1" applyNumberFormat="1" applyFont="1"/>
    <xf numFmtId="1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9" fontId="0" fillId="0" borderId="0" xfId="0" applyNumberFormat="1" applyAlignment="1">
      <alignment horizontal="right"/>
    </xf>
    <xf numFmtId="14" fontId="3" fillId="0" borderId="0" xfId="0" applyNumberFormat="1" applyFont="1" applyAlignment="1">
      <alignment horizontal="right"/>
    </xf>
    <xf numFmtId="0" fontId="2" fillId="0" borderId="0" xfId="0" applyFont="1"/>
    <xf numFmtId="10" fontId="0" fillId="0" borderId="0" xfId="1" applyNumberFormat="1" applyFont="1" applyAlignment="1">
      <alignment horizontal="right"/>
    </xf>
    <xf numFmtId="0" fontId="0" fillId="0" borderId="0" xfId="0" quotePrefix="1" applyAlignment="1">
      <alignment horizontal="right"/>
    </xf>
    <xf numFmtId="0" fontId="2" fillId="0" borderId="0" xfId="0" applyFont="1" applyAlignment="1">
      <alignment horizontal="center"/>
    </xf>
    <xf numFmtId="11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12335-CBD8-46BF-9EBD-5BF6B0C18873}">
  <dimension ref="A1:E80"/>
  <sheetViews>
    <sheetView tabSelected="1" workbookViewId="0"/>
  </sheetViews>
  <sheetFormatPr defaultRowHeight="14.4" x14ac:dyDescent="0.3"/>
  <cols>
    <col min="1" max="1" width="30" bestFit="1" customWidth="1"/>
    <col min="2" max="5" width="24.6640625" customWidth="1"/>
  </cols>
  <sheetData>
    <row r="1" spans="1:5" x14ac:dyDescent="0.3">
      <c r="A1" t="s">
        <v>0</v>
      </c>
      <c r="B1" s="1">
        <v>46174</v>
      </c>
    </row>
    <row r="2" spans="1:5" x14ac:dyDescent="0.3">
      <c r="A2" t="s">
        <v>1</v>
      </c>
      <c r="B2" s="1" cm="1">
        <f t="array" ref="B2">_xll.qlSettingsSetEvaluationDate(B1)</f>
        <v>46174</v>
      </c>
    </row>
    <row r="4" spans="1:5" x14ac:dyDescent="0.3">
      <c r="A4" t="s">
        <v>2</v>
      </c>
      <c r="B4" t="str" cm="1">
        <f t="array" ref="B4">_xll.qlFlatForward(B2,0.03,"Act/365")</f>
        <v>欣[test_gaussian1dmodel.xlsx]GSR Model and Engine!R4C2YieldTermStructureHandle,A</v>
      </c>
    </row>
    <row r="8" spans="1:5" x14ac:dyDescent="0.3">
      <c r="A8" t="s">
        <v>3</v>
      </c>
      <c r="B8" s="1">
        <f>B2+365</f>
        <v>46539</v>
      </c>
      <c r="C8" s="1">
        <f>B8+365</f>
        <v>46904</v>
      </c>
      <c r="D8" s="1">
        <f>C8+365</f>
        <v>47269</v>
      </c>
      <c r="E8" s="1"/>
    </row>
    <row r="9" spans="1:5" x14ac:dyDescent="0.3">
      <c r="A9" t="s">
        <v>4</v>
      </c>
      <c r="B9" s="2">
        <v>8.0000000000000002E-3</v>
      </c>
      <c r="C9" s="2">
        <v>8.0000000000000002E-3</v>
      </c>
      <c r="D9" s="2">
        <v>8.0000000000000002E-3</v>
      </c>
      <c r="E9" s="2">
        <v>8.0000000000000002E-3</v>
      </c>
    </row>
    <row r="10" spans="1:5" x14ac:dyDescent="0.3">
      <c r="A10" t="s">
        <v>5</v>
      </c>
      <c r="B10" s="2">
        <v>0.01</v>
      </c>
      <c r="C10" s="2">
        <v>0.01</v>
      </c>
      <c r="D10" s="2">
        <v>0.01</v>
      </c>
      <c r="E10" s="2">
        <v>0.01</v>
      </c>
    </row>
    <row r="11" spans="1:5" x14ac:dyDescent="0.3">
      <c r="A11" t="s">
        <v>6</v>
      </c>
      <c r="B11">
        <v>60</v>
      </c>
    </row>
    <row r="13" spans="1:5" x14ac:dyDescent="0.3">
      <c r="A13" s="7" t="s">
        <v>7</v>
      </c>
      <c r="B13" t="str" cm="1">
        <f t="array" ref="B13">_xll.qlGsr(B4,B8:D8,B9:E9,B10:E10,B11)</f>
        <v>欣[test_gaussian1dmodel.xlsx]GSR Model and Engine!R13C2Gsr,A</v>
      </c>
    </row>
    <row r="15" spans="1:5" x14ac:dyDescent="0.3">
      <c r="A15" s="7" t="s">
        <v>8</v>
      </c>
      <c r="B15" t="str" cm="1">
        <f t="array" ref="B15">_xll.qlGaussian1dSwaptionEngine(B13)</f>
        <v>欣[test_gaussian1dmodel.xlsx]GSR Model and Engine!R15C2Gaussian1dSwaptionEngine,A</v>
      </c>
    </row>
    <row r="17" spans="1:2" x14ac:dyDescent="0.3">
      <c r="A17" t="s">
        <v>9</v>
      </c>
      <c r="B17" s="4" t="str" cm="1">
        <f t="array" ref="B17">_xll.qlFlatForward(B2,0.03)</f>
        <v>欣[test_gaussian1dmodel.xlsx]GSR Model and Engine!R17C2YieldTermStructureHandle,A</v>
      </c>
    </row>
    <row r="18" spans="1:2" x14ac:dyDescent="0.3">
      <c r="A18" t="s">
        <v>10</v>
      </c>
      <c r="B18" s="4" t="str" cm="1">
        <f t="array" ref="B18">_xll.qlEuribor("6M",B17)</f>
        <v>欣[test_gaussian1dmodel.xlsx]GSR Model and Engine!R18C2Euribor,A</v>
      </c>
    </row>
    <row r="19" spans="1:2" x14ac:dyDescent="0.3">
      <c r="B19" s="4"/>
    </row>
    <row r="20" spans="1:2" x14ac:dyDescent="0.3">
      <c r="A20" t="s">
        <v>11</v>
      </c>
      <c r="B20" s="4" t="s">
        <v>12</v>
      </c>
    </row>
    <row r="21" spans="1:2" x14ac:dyDescent="0.3">
      <c r="A21" t="s">
        <v>13</v>
      </c>
      <c r="B21" s="4" t="s">
        <v>14</v>
      </c>
    </row>
    <row r="22" spans="1:2" x14ac:dyDescent="0.3">
      <c r="A22" t="s">
        <v>15</v>
      </c>
      <c r="B22" s="3" cm="1">
        <f t="array" ref="B22">_xll.qlCalendarAdvance2("Target",$B$2,B20,"ModifiedFollowing")</f>
        <v>46905</v>
      </c>
    </row>
    <row r="23" spans="1:2" x14ac:dyDescent="0.3">
      <c r="A23" t="s">
        <v>16</v>
      </c>
      <c r="B23" s="3" cm="1">
        <f t="array" ref="B23">_xll.qlCalendarAdvance2("Target",$B$2,B21,"ModifiedFollowing")</f>
        <v>48001</v>
      </c>
    </row>
    <row r="24" spans="1:2" x14ac:dyDescent="0.3">
      <c r="A24" t="s">
        <v>17</v>
      </c>
      <c r="B24" s="5">
        <v>0.03</v>
      </c>
    </row>
    <row r="25" spans="1:2" x14ac:dyDescent="0.3">
      <c r="A25" t="s">
        <v>18</v>
      </c>
      <c r="B25" s="4" t="str" cm="1">
        <f t="array" ref="B25">_xll.qlMakeSchedule(B22,B23,"1y",,"Target","ModifiedFollowing",,"Backward")</f>
        <v>欣[test_gaussian1dmodel.xlsx]GSR Model and Engine!R25C2Schedule,A</v>
      </c>
    </row>
    <row r="26" spans="1:2" x14ac:dyDescent="0.3">
      <c r="A26" t="s">
        <v>19</v>
      </c>
      <c r="B26" s="4" t="str" cm="1">
        <f t="array" ref="B26">_xll.qlMakeSchedule(B22,B23,"6m",,"Target","ModifiedFollowing",,"Backward")</f>
        <v>欣[test_gaussian1dmodel.xlsx]GSR Model and Engine!R26C2Schedule,A</v>
      </c>
    </row>
    <row r="27" spans="1:2" x14ac:dyDescent="0.3">
      <c r="A27" t="s">
        <v>20</v>
      </c>
      <c r="B27" s="4" t="str" cm="1">
        <f t="array" ref="B27">_xll.qlVanillaSwap("Payer",10000,B25,B24,"30/360",B26,B18,0,"Act/360")</f>
        <v>欣[test_gaussian1dmodel.xlsx]GSR Model and Engine!R27C2VanillaSwap,A</v>
      </c>
    </row>
    <row r="28" spans="1:2" x14ac:dyDescent="0.3">
      <c r="B28" s="4"/>
    </row>
    <row r="29" spans="1:2" x14ac:dyDescent="0.3">
      <c r="A29" t="s">
        <v>21</v>
      </c>
      <c r="B29" s="3">
        <f t="array" ref="B29:B33">_xll.qlScheduleDates(B25) - 2</f>
        <v>46903</v>
      </c>
    </row>
    <row r="30" spans="1:2" x14ac:dyDescent="0.3">
      <c r="B30" s="3">
        <v>46904</v>
      </c>
    </row>
    <row r="31" spans="1:2" x14ac:dyDescent="0.3">
      <c r="B31" s="3">
        <v>47271</v>
      </c>
    </row>
    <row r="32" spans="1:2" x14ac:dyDescent="0.3">
      <c r="B32" s="3">
        <v>47635</v>
      </c>
    </row>
    <row r="33" spans="1:5" x14ac:dyDescent="0.3">
      <c r="B33" s="6">
        <v>47999</v>
      </c>
    </row>
    <row r="34" spans="1:5" x14ac:dyDescent="0.3">
      <c r="B34" s="4"/>
    </row>
    <row r="35" spans="1:5" x14ac:dyDescent="0.3">
      <c r="A35" t="s">
        <v>22</v>
      </c>
      <c r="B35" s="4" t="str" cm="1">
        <f t="array" ref="B35">_xll.qlEuropeanExercise(B29)</f>
        <v>欣[test_gaussian1dmodel.xlsx]GSR Model and Engine!R35C2EuropeanExercise,A</v>
      </c>
    </row>
    <row r="36" spans="1:5" x14ac:dyDescent="0.3">
      <c r="A36" t="s">
        <v>23</v>
      </c>
      <c r="B36" s="4" t="str" cm="1">
        <f t="array" ref="B36">_xll.qlBermudanExercise(B29:B32)</f>
        <v>欣[test_gaussian1dmodel.xlsx]GSR Model and Engine!R36C2BermudanExercise,A</v>
      </c>
    </row>
    <row r="37" spans="1:5" x14ac:dyDescent="0.3">
      <c r="B37" s="4"/>
    </row>
    <row r="38" spans="1:5" x14ac:dyDescent="0.3">
      <c r="A38" t="s">
        <v>24</v>
      </c>
      <c r="B38" s="4"/>
    </row>
    <row r="39" spans="1:5" x14ac:dyDescent="0.3">
      <c r="A39" t="s">
        <v>25</v>
      </c>
      <c r="B39" s="4"/>
    </row>
    <row r="40" spans="1:5" x14ac:dyDescent="0.3">
      <c r="B40" s="4"/>
    </row>
    <row r="41" spans="1:5" x14ac:dyDescent="0.3">
      <c r="A41" t="s">
        <v>26</v>
      </c>
      <c r="B41" s="4" t="str" cm="1">
        <f t="array" ref="B41">_xll.qlSwaption(B27,B35)</f>
        <v>欣[test_gaussian1dmodel.xlsx]GSR Model and Engine!R41C2Swaption,A</v>
      </c>
    </row>
    <row r="42" spans="1:5" x14ac:dyDescent="0.3">
      <c r="A42" t="s">
        <v>27</v>
      </c>
      <c r="B42" s="4" t="str" cm="1">
        <f t="array" ref="B42">_xll.qlSwaption(B27,B36)</f>
        <v>欣[test_gaussian1dmodel.xlsx]GSR Model and Engine!R42C2Swaption,A</v>
      </c>
    </row>
    <row r="44" spans="1:5" x14ac:dyDescent="0.3">
      <c r="A44" t="s">
        <v>28</v>
      </c>
      <c r="B44" cm="1">
        <f t="array" ref="B44">_xll.qlInstrumentNPV(B41,_xll.qlInstrumentSetPricingEngine(B41,B15))</f>
        <v>126.78027860072081</v>
      </c>
    </row>
    <row r="45" spans="1:5" x14ac:dyDescent="0.3">
      <c r="A45" t="s">
        <v>28</v>
      </c>
      <c r="B45" cm="1">
        <f t="array" ref="B45">_xll.qlInstrumentNPV(B42,_xll.qlInstrumentSetPricingEngine(B42,B15))</f>
        <v>143.1754771873166</v>
      </c>
    </row>
    <row r="48" spans="1:5" x14ac:dyDescent="0.3">
      <c r="B48" s="10" t="s">
        <v>29</v>
      </c>
      <c r="C48" s="10" t="s">
        <v>29</v>
      </c>
      <c r="D48" s="10" t="s">
        <v>29</v>
      </c>
      <c r="E48" s="10" t="s">
        <v>29</v>
      </c>
    </row>
    <row r="49" spans="1:5" x14ac:dyDescent="0.3">
      <c r="A49" t="s">
        <v>30</v>
      </c>
      <c r="B49" s="4" t="s">
        <v>31</v>
      </c>
      <c r="C49" s="4" t="s">
        <v>33</v>
      </c>
      <c r="D49" s="4" t="s">
        <v>53</v>
      </c>
      <c r="E49" s="4" t="s">
        <v>54</v>
      </c>
    </row>
    <row r="50" spans="1:5" x14ac:dyDescent="0.3">
      <c r="A50" t="s">
        <v>32</v>
      </c>
      <c r="B50" s="4" t="s">
        <v>54</v>
      </c>
      <c r="C50" s="4" t="s">
        <v>53</v>
      </c>
      <c r="D50" s="4" t="s">
        <v>33</v>
      </c>
      <c r="E50" s="4" t="s">
        <v>31</v>
      </c>
    </row>
    <row r="51" spans="1:5" x14ac:dyDescent="0.3">
      <c r="A51" t="s">
        <v>34</v>
      </c>
      <c r="B51" s="8">
        <v>7.0000000000000001E-3</v>
      </c>
      <c r="C51" s="8">
        <v>7.0000000000000001E-3</v>
      </c>
      <c r="D51" s="8">
        <v>7.0000000000000001E-3</v>
      </c>
      <c r="E51" s="8">
        <v>7.0000000000000001E-3</v>
      </c>
    </row>
    <row r="52" spans="1:5" x14ac:dyDescent="0.3">
      <c r="A52" t="s">
        <v>35</v>
      </c>
      <c r="B52" s="4" t="str">
        <f>$B$18</f>
        <v>欣[test_gaussian1dmodel.xlsx]GSR Model and Engine!R18C2Euribor,A</v>
      </c>
      <c r="C52" s="4" t="str">
        <f>$B$18</f>
        <v>欣[test_gaussian1dmodel.xlsx]GSR Model and Engine!R18C2Euribor,A</v>
      </c>
      <c r="D52" s="4" t="str">
        <f>$B$18</f>
        <v>欣[test_gaussian1dmodel.xlsx]GSR Model and Engine!R18C2Euribor,A</v>
      </c>
      <c r="E52" s="4" t="str">
        <f>$B$18</f>
        <v>欣[test_gaussian1dmodel.xlsx]GSR Model and Engine!R18C2Euribor,A</v>
      </c>
    </row>
    <row r="53" spans="1:5" x14ac:dyDescent="0.3">
      <c r="A53" t="s">
        <v>36</v>
      </c>
      <c r="B53" s="4" t="s">
        <v>37</v>
      </c>
      <c r="C53" s="4" t="s">
        <v>37</v>
      </c>
      <c r="D53" s="4" t="s">
        <v>37</v>
      </c>
      <c r="E53" s="4" t="s">
        <v>37</v>
      </c>
    </row>
    <row r="54" spans="1:5" x14ac:dyDescent="0.3">
      <c r="A54" t="s">
        <v>38</v>
      </c>
      <c r="B54" s="9" t="s">
        <v>39</v>
      </c>
      <c r="C54" s="9" t="s">
        <v>39</v>
      </c>
      <c r="D54" s="9" t="s">
        <v>39</v>
      </c>
      <c r="E54" s="9" t="s">
        <v>39</v>
      </c>
    </row>
    <row r="55" spans="1:5" x14ac:dyDescent="0.3">
      <c r="A55" t="s">
        <v>40</v>
      </c>
      <c r="B55" s="4" t="s">
        <v>41</v>
      </c>
      <c r="C55" s="4" t="s">
        <v>41</v>
      </c>
      <c r="D55" s="4" t="s">
        <v>41</v>
      </c>
      <c r="E55" s="4" t="s">
        <v>41</v>
      </c>
    </row>
    <row r="56" spans="1:5" x14ac:dyDescent="0.3">
      <c r="A56" t="s">
        <v>42</v>
      </c>
      <c r="B56" s="4" t="str">
        <f>$B$4</f>
        <v>欣[test_gaussian1dmodel.xlsx]GSR Model and Engine!R4C2YieldTermStructureHandle,A</v>
      </c>
      <c r="C56" s="4" t="str">
        <f>$B$4</f>
        <v>欣[test_gaussian1dmodel.xlsx]GSR Model and Engine!R4C2YieldTermStructureHandle,A</v>
      </c>
      <c r="D56" s="4" t="str">
        <f>$B$4</f>
        <v>欣[test_gaussian1dmodel.xlsx]GSR Model and Engine!R4C2YieldTermStructureHandle,A</v>
      </c>
      <c r="E56" s="4" t="str">
        <f>$B$4</f>
        <v>欣[test_gaussian1dmodel.xlsx]GSR Model and Engine!R4C2YieldTermStructureHandle,A</v>
      </c>
    </row>
    <row r="57" spans="1:5" x14ac:dyDescent="0.3">
      <c r="A57" t="s">
        <v>43</v>
      </c>
      <c r="B57" s="4" t="s">
        <v>44</v>
      </c>
      <c r="C57" s="4" t="s">
        <v>44</v>
      </c>
      <c r="D57" s="4" t="s">
        <v>44</v>
      </c>
      <c r="E57" s="4" t="s">
        <v>44</v>
      </c>
    </row>
    <row r="58" spans="1:5" x14ac:dyDescent="0.3">
      <c r="A58" t="s">
        <v>45</v>
      </c>
      <c r="B58" s="4">
        <v>0.03</v>
      </c>
      <c r="C58" s="4">
        <v>0.03</v>
      </c>
      <c r="D58" s="4">
        <v>0.03</v>
      </c>
      <c r="E58" s="4">
        <v>0.03</v>
      </c>
    </row>
    <row r="59" spans="1:5" x14ac:dyDescent="0.3">
      <c r="A59" t="s">
        <v>46</v>
      </c>
      <c r="B59" s="4">
        <v>100</v>
      </c>
      <c r="C59" s="4">
        <v>100</v>
      </c>
      <c r="D59" s="4">
        <v>100</v>
      </c>
      <c r="E59" s="4">
        <v>100</v>
      </c>
    </row>
    <row r="60" spans="1:5" x14ac:dyDescent="0.3">
      <c r="A60" t="s">
        <v>47</v>
      </c>
      <c r="B60" s="4" t="s">
        <v>48</v>
      </c>
      <c r="C60" s="4" t="s">
        <v>48</v>
      </c>
      <c r="D60" s="4" t="s">
        <v>48</v>
      </c>
      <c r="E60" s="4" t="s">
        <v>48</v>
      </c>
    </row>
    <row r="61" spans="1:5" x14ac:dyDescent="0.3">
      <c r="A61" t="s">
        <v>49</v>
      </c>
      <c r="B61" s="4">
        <v>0</v>
      </c>
      <c r="C61" s="4">
        <v>0</v>
      </c>
      <c r="D61" s="4">
        <v>0</v>
      </c>
      <c r="E61" s="4">
        <v>0</v>
      </c>
    </row>
    <row r="62" spans="1:5" x14ac:dyDescent="0.3">
      <c r="A62" t="s">
        <v>50</v>
      </c>
      <c r="B62" s="4">
        <v>2</v>
      </c>
      <c r="C62" s="4">
        <v>2</v>
      </c>
      <c r="D62" s="4">
        <v>2</v>
      </c>
      <c r="E62" s="4">
        <v>2</v>
      </c>
    </row>
    <row r="63" spans="1:5" x14ac:dyDescent="0.3">
      <c r="A63" t="s">
        <v>51</v>
      </c>
      <c r="B63" s="4" t="s">
        <v>52</v>
      </c>
      <c r="C63" s="4" t="s">
        <v>52</v>
      </c>
      <c r="D63" s="4" t="s">
        <v>52</v>
      </c>
      <c r="E63" s="4" t="s">
        <v>52</v>
      </c>
    </row>
    <row r="65" spans="1:5" x14ac:dyDescent="0.3">
      <c r="A65" t="s">
        <v>29</v>
      </c>
      <c r="B65" s="4" t="str" cm="1">
        <f t="array" ref="B65">_xll.qlSwaptionHelper(B49,B50,B51,B52,B53,B54,B55,B56,B57,B58,B59,B60,B61,B62)</f>
        <v>欣[test_gaussian1dmodel.xlsx]GSR Model and Engine!R65C2SwaptionHelper,A</v>
      </c>
      <c r="C65" s="4" t="str" cm="1">
        <f t="array" ref="C65">_xll.qlSwaptionHelper(C49,C50,C51,C52,C53,C54,C55,C56,C57,C58,C59,C60,C61,C62)</f>
        <v>欣[test_gaussian1dmodel.xlsx]GSR Model and Engine!R65C3SwaptionHelper,A</v>
      </c>
      <c r="D65" s="4" t="str" cm="1">
        <f t="array" ref="D65">_xll.qlSwaptionHelper(D49,D50,D51,D52,D53,D54,D55,D56,D57,D58,D59,D60,D61,D62)</f>
        <v>欣[test_gaussian1dmodel.xlsx]GSR Model and Engine!R65C4SwaptionHelper,A</v>
      </c>
      <c r="E65" s="4" t="str" cm="1">
        <f t="array" ref="E65">_xll.qlSwaptionHelper(E49,E50,E51,E52,E53,E54,E55,E56,E57,E58,E59,E60,E61,E62)</f>
        <v>欣[test_gaussian1dmodel.xlsx]GSR Model and Engine!R65C5SwaptionHelper,A</v>
      </c>
    </row>
    <row r="66" spans="1:5" x14ac:dyDescent="0.3">
      <c r="B66" t="b" cm="1">
        <f t="array" ref="B66">_xll.qlBlackCalibrationHelperSetPricingEngine(B65,$B$15)</f>
        <v>1</v>
      </c>
      <c r="C66" t="b" cm="1">
        <f t="array" ref="C66">_xll.qlBlackCalibrationHelperSetPricingEngine(C65,$B$15)</f>
        <v>1</v>
      </c>
      <c r="D66" t="b" cm="1">
        <f t="array" ref="D66">_xll.qlBlackCalibrationHelperSetPricingEngine(D65,$B$15)</f>
        <v>1</v>
      </c>
      <c r="E66" t="b" cm="1">
        <f t="array" ref="E66">_xll.qlBlackCalibrationHelperSetPricingEngine(E65,$B$15)</f>
        <v>1</v>
      </c>
    </row>
    <row r="68" spans="1:5" x14ac:dyDescent="0.3">
      <c r="A68" t="s">
        <v>55</v>
      </c>
      <c r="B68" t="str" cm="1">
        <f t="array" ref="B68">_xll.qlLevenbergMarquardt()</f>
        <v>欣[test_gaussian1dmodel.xlsx]GSR Model and Engine!R68C2LevenbergMarquardt,A</v>
      </c>
    </row>
    <row r="70" spans="1:5" x14ac:dyDescent="0.3">
      <c r="A70" t="s">
        <v>56</v>
      </c>
      <c r="B70">
        <v>100</v>
      </c>
    </row>
    <row r="71" spans="1:5" x14ac:dyDescent="0.3">
      <c r="A71" t="s">
        <v>57</v>
      </c>
      <c r="B71">
        <v>10</v>
      </c>
    </row>
    <row r="72" spans="1:5" x14ac:dyDescent="0.3">
      <c r="A72" t="s">
        <v>58</v>
      </c>
      <c r="B72" s="11">
        <v>1E-4</v>
      </c>
    </row>
    <row r="73" spans="1:5" x14ac:dyDescent="0.3">
      <c r="A73" t="s">
        <v>59</v>
      </c>
      <c r="B73" s="11">
        <v>1.0000000000000001E-5</v>
      </c>
    </row>
    <row r="74" spans="1:5" x14ac:dyDescent="0.3">
      <c r="A74" t="s">
        <v>60</v>
      </c>
      <c r="B74" s="11">
        <v>9.9999999999999995E-7</v>
      </c>
    </row>
    <row r="75" spans="1:5" x14ac:dyDescent="0.3">
      <c r="A75" t="s">
        <v>61</v>
      </c>
      <c r="B75" t="str" cm="1">
        <f t="array" ref="B75">_xll.qlEndCriteria(B70,B71,B72,B73,B74)</f>
        <v>欣[test_gaussian1dmodel.xlsx]GSR Model and Engine!R75C2EndCriteria,A</v>
      </c>
    </row>
    <row r="77" spans="1:5" x14ac:dyDescent="0.3">
      <c r="A77" t="s">
        <v>62</v>
      </c>
      <c r="B77" t="b" cm="1">
        <f t="array" ref="B77">_xll.qlGsrCalibrateVolatilitiesIterative(B13,B65:E65,B68,B75,,,B66:E66)</f>
        <v>1</v>
      </c>
    </row>
    <row r="79" spans="1:5" x14ac:dyDescent="0.3">
      <c r="A79" s="7" t="s">
        <v>63</v>
      </c>
      <c r="B79" cm="1">
        <f t="array" ref="B79:E79">TRANSPOSE(_xll.qlGsrVolatility(B13,B77))</f>
        <v>6.9631874311834709E-3</v>
      </c>
      <c r="C79">
        <v>6.9629046225871821E-3</v>
      </c>
      <c r="D79">
        <v>6.9692329562232634E-3</v>
      </c>
      <c r="E79">
        <v>6.9962829631992464E-3</v>
      </c>
    </row>
    <row r="80" spans="1:5" x14ac:dyDescent="0.3">
      <c r="A80" s="7" t="s">
        <v>64</v>
      </c>
      <c r="B80" cm="1">
        <f t="array" ref="B80:E80">TRANSPOSE(_xll.qlGsrReversion(B13,B77))</f>
        <v>0.01</v>
      </c>
      <c r="C80">
        <v>0.01</v>
      </c>
      <c r="D80">
        <v>0.01</v>
      </c>
      <c r="E80">
        <v>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GSR Model and Engine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Schlenkrich</dc:creator>
  <cp:lastModifiedBy>Sebastian Schlenkrich</cp:lastModifiedBy>
  <dcterms:created xsi:type="dcterms:W3CDTF">2026-07-01T09:00:59Z</dcterms:created>
  <dcterms:modified xsi:type="dcterms:W3CDTF">2026-07-01T13:16:07Z</dcterms:modified>
</cp:coreProperties>
</file>