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s\"/>
    </mc:Choice>
  </mc:AlternateContent>
  <xr:revisionPtr revIDLastSave="0" documentId="13_ncr:1_{4E8ED92A-48CE-486D-8593-7CEA69F0EFD1}" xr6:coauthVersionLast="47" xr6:coauthVersionMax="47" xr10:uidLastSave="{00000000-0000-0000-0000-000000000000}"/>
  <bookViews>
    <workbookView xWindow="13905" yWindow="-20130" windowWidth="21330" windowHeight="15900" activeTab="1" xr2:uid="{E76B3670-D287-482D-903A-DB7A1E5EF242}"/>
  </bookViews>
  <sheets>
    <sheet name="Constraints" sheetId="1" r:id="rId1"/>
    <sheet name="EndCriter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 a="1"/>
  <c r="B12" i="2" a="1"/>
  <c r="B13" i="2" a="1"/>
  <c r="B16" i="2" a="1"/>
  <c r="B15" i="2" a="1"/>
  <c r="B14" i="2" a="1"/>
  <c r="B17" i="2" a="1"/>
  <c r="B12" i="1" a="1"/>
  <c r="B11" i="1" a="1"/>
  <c r="B10" i="1" a="1"/>
  <c r="B8" i="2" a="1"/>
  <c r="B3" i="1" a="1"/>
  <c r="B2" i="1" a="1"/>
  <c r="B11" i="2" l="1"/>
  <c r="B17" i="2"/>
  <c r="B14" i="2"/>
  <c r="B15" i="2"/>
  <c r="B16" i="2"/>
  <c r="B13" i="2"/>
  <c r="B12" i="2"/>
  <c r="B12" i="1"/>
  <c r="B11" i="1"/>
  <c r="B10" i="1"/>
  <c r="B8" i="2"/>
  <c r="B3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<sst xmlns="http://schemas.openxmlformats.org/spreadsheetml/2006/main" count="27" uniqueCount="27">
  <si>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qlNoConstraint</t>
  </si>
  <si>
    <t>qlPositiveConstraint</t>
  </si>
  <si>
    <t>Lower boundary</t>
  </si>
  <si>
    <t>Upper boundary</t>
  </si>
  <si>
    <t>    max_iterations: int,</t>
  </si>
  <si>
    <t>    max_stationary_state_iterations: int,</t>
  </si>
  <si>
    <t>    root_epsilon: float,</t>
  </si>
  <si>
    <t>    function_epsilon: float,</t>
  </si>
  <si>
    <t>    gradient_norm_epsilon: float,</t>
  </si>
  <si>
    <t>max_iterations</t>
  </si>
  <si>
    <t>max_stationary_state_iterations</t>
  </si>
  <si>
    <t>root_epsilon</t>
  </si>
  <si>
    <t>function_epsilon</t>
  </si>
  <si>
    <t>gradient_norm_epsilon</t>
  </si>
  <si>
    <t>qlEndCriteria</t>
  </si>
  <si>
    <t>NO_CRITERIA</t>
  </si>
  <si>
    <t>MAX_ITERATIONS</t>
  </si>
  <si>
    <t>STATIONARY_POINT</t>
  </si>
  <si>
    <t>STATIONARY_FUNCTION_VALUE</t>
  </si>
  <si>
    <t>STATIONARY_FUNCTION_ACCURACY</t>
  </si>
  <si>
    <t>ZERO_GRADIENT_NORM</t>
  </si>
  <si>
    <t>FUNCTION_EPSILON_TOO_SMALL</t>
  </si>
  <si>
    <t>EndCriteriaType</t>
  </si>
  <si>
    <t>qlBoundaryConstraint</t>
  </si>
  <si>
    <t>qlCompositeConstraint</t>
  </si>
  <si>
    <t>qlNonhomogeneousBoundaryConstraint</t>
  </si>
  <si>
    <t>qlEndCriteriaSucceded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</si>
</sst>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04EB-76EE-4F21-BB1B-33964149D1F3}">
  <dimension ref="A2:B12"/>
  <sheetViews>
    <sheetView workbookViewId="0"/>
  </sheetViews>
  <sheetFormatPr defaultRowHeight="14.4" x14ac:dyDescent="0.3"/>
  <cols>
    <col min="1" max="1" width="36.33203125" bestFit="1" customWidth="1"/>
    <col min="2" max="2" width="38.5546875" bestFit="1" customWidth="1"/>
  </cols>
  <sheetData>
    <row r="2" spans="1:2" x14ac:dyDescent="0.3">
      <c r="A2" t="s">
        <v>0</v>
      </c>
      <c r="B2" t="str" cm="1">
        <f t="array" ref="B2">_xll.qlNoConstraint()</f>
        <v>⚡[Book1]Constraints!R2C2NoConstraint,A</v>
      </c>
    </row>
    <row r="3" spans="1:2" x14ac:dyDescent="0.3">
      <c r="A3" t="s">
        <v>1</v>
      </c>
      <c r="B3" t="str" cm="1">
        <f t="array" ref="B3">_xll.qlPositiveConstraint()</f>
        <v>⚡[Book1]Constraints!R3C2PositiveConstraint,A</v>
      </c>
    </row>
    <row r="5" spans="1:2" x14ac:dyDescent="0.3">
      <c r="A5" t="s">
        <v>2</v>
      </c>
      <c r="B5" t="s">
        <v>3</v>
      </c>
    </row>
    <row r="6" spans="1:2" x14ac:dyDescent="0.3">
      <c r="A6">
        <v>1</v>
      </c>
      <c r="B6">
        <v>3</v>
      </c>
    </row>
    <row r="7" spans="1:2" x14ac:dyDescent="0.3">
      <c r="A7">
        <v>1</v>
      </c>
      <c r="B7">
        <v>3</v>
      </c>
    </row>
    <row r="8" spans="1:2" x14ac:dyDescent="0.3">
      <c r="A8">
        <v>1</v>
      </c>
      <c r="B8">
        <v>3</v>
      </c>
    </row>
    <row r="10" spans="1:2" x14ac:dyDescent="0.3">
      <c r="A10" t="s">
        <v>23</v>
      </c>
      <c r="B10" t="str" cm="1">
        <f t="array" ref="B10">_xll.qlBoundaryConstraint(A6,B6)</f>
        <v>⚡[test_optimizers.xlsx]Constraints!R10C2BoundaryConstraint,A</v>
      </c>
    </row>
    <row r="11" spans="1:2" x14ac:dyDescent="0.3">
      <c r="A11" t="s">
        <v>24</v>
      </c>
      <c r="B11" t="str" cm="1">
        <f t="array" ref="B11">_xll.qlCompositeConstraint(B3,B10)</f>
        <v>⚡[test_optimizers.xlsx]Constraints!R11C2CompositeConstraint,A</v>
      </c>
    </row>
    <row r="12" spans="1:2" x14ac:dyDescent="0.3">
      <c r="A12" t="s">
        <v>25</v>
      </c>
      <c r="B12" t="str" cm="1">
        <f t="array" ref="B12">_xll.qlNonhomogeneousBoundaryConstraint(A6:A8,B6:B8)</f>
        <v>⚡[test_optimizers.xlsx]Constraints!R12C2NonhomogeneousBoundaryConstraint,A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9001-4C2C-46EE-A1BD-66EDDB727756}">
  <dimension ref="A2:D17"/>
  <sheetViews>
    <sheetView tabSelected="1" workbookViewId="0"/>
  </sheetViews>
  <sheetFormatPr defaultRowHeight="14.4" x14ac:dyDescent="0.3"/>
  <cols>
    <col min="1" max="1" width="35.33203125" customWidth="1"/>
  </cols>
  <sheetData>
    <row r="2" spans="1:4" x14ac:dyDescent="0.3">
      <c r="A2" t="s">
        <v>9</v>
      </c>
      <c r="B2">
        <v>100</v>
      </c>
      <c r="D2" t="s">
        <v>4</v>
      </c>
    </row>
    <row r="3" spans="1:4" x14ac:dyDescent="0.3">
      <c r="A3" t="s">
        <v>10</v>
      </c>
      <c r="B3">
        <v>10</v>
      </c>
      <c r="D3" t="s">
        <v>5</v>
      </c>
    </row>
    <row r="4" spans="1:4" x14ac:dyDescent="0.3">
      <c r="A4" t="s">
        <v>11</v>
      </c>
      <c r="B4" s="1">
        <v>1E-4</v>
      </c>
      <c r="D4" t="s">
        <v>6</v>
      </c>
    </row>
    <row r="5" spans="1:4" x14ac:dyDescent="0.3">
      <c r="A5" t="s">
        <v>12</v>
      </c>
      <c r="B5" s="1">
        <v>1.0000000000000001E-5</v>
      </c>
      <c r="D5" t="s">
        <v>7</v>
      </c>
    </row>
    <row r="6" spans="1:4" x14ac:dyDescent="0.3">
      <c r="A6" t="s">
        <v>13</v>
      </c>
      <c r="B6" s="1">
        <v>9.9999999999999995E-7</v>
      </c>
      <c r="D6" t="s">
        <v>8</v>
      </c>
    </row>
    <row r="8" spans="1:4" x14ac:dyDescent="0.3">
      <c r="A8" t="s">
        <v>14</v>
      </c>
      <c r="B8" t="str" cm="1">
        <f t="array" ref="B8">_xll.qlEndCriteria(B2,B3,B4,B5,B6)</f>
        <v>⚡[Book1]EndCriteria!R8C2EndCriteria,A</v>
      </c>
    </row>
    <row r="10" spans="1:4" x14ac:dyDescent="0.3">
      <c r="A10" t="s">
        <v>22</v>
      </c>
      <c r="B10" t="s">
        <v>26</v>
      </c>
    </row>
    <row r="11" spans="1:4" x14ac:dyDescent="0.3">
      <c r="A11" t="s">
        <v>15</v>
      </c>
      <c r="B11" t="b" cm="1">
        <f t="array" ref="B11">_xll.qlEndCriteriaSucceded($B$8,A11)</f>
        <v>0</v>
      </c>
    </row>
    <row r="12" spans="1:4" x14ac:dyDescent="0.3">
      <c r="A12" t="s">
        <v>16</v>
      </c>
      <c r="B12" t="b" cm="1">
        <f t="array" ref="B12">_xll.qlEndCriteriaSucceded($B$8,A12)</f>
        <v>0</v>
      </c>
    </row>
    <row r="13" spans="1:4" x14ac:dyDescent="0.3">
      <c r="A13" t="s">
        <v>17</v>
      </c>
      <c r="B13" t="b" cm="1">
        <f t="array" ref="B13">_xll.qlEndCriteriaSucceded($B$8,A13)</f>
        <v>1</v>
      </c>
    </row>
    <row r="14" spans="1:4" x14ac:dyDescent="0.3">
      <c r="A14" t="s">
        <v>18</v>
      </c>
      <c r="B14" t="b" cm="1">
        <f t="array" ref="B14">_xll.qlEndCriteriaSucceded($B$8,A14)</f>
        <v>1</v>
      </c>
    </row>
    <row r="15" spans="1:4" x14ac:dyDescent="0.3">
      <c r="A15" t="s">
        <v>19</v>
      </c>
      <c r="B15" t="b" cm="1">
        <f t="array" ref="B15">_xll.qlEndCriteriaSucceded($B$8,A15)</f>
        <v>1</v>
      </c>
    </row>
    <row r="16" spans="1:4" x14ac:dyDescent="0.3">
      <c r="A16" t="s">
        <v>20</v>
      </c>
      <c r="B16" t="b" cm="1">
        <f t="array" ref="B16">_xll.qlEndCriteriaSucceded($B$8,A16)</f>
        <v>0</v>
      </c>
    </row>
    <row r="17" spans="1:2" x14ac:dyDescent="0.3">
      <c r="A17" t="s">
        <v>21</v>
      </c>
      <c r="B17" t="b" cm="1">
        <f t="array" ref="B17">_xll.qlEndCriteriaSucceded($B$8,A17)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Constraints</vt:lpstr>
      <vt:lpstr>EndCriteria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Sebastian Schlenkrich</cp:lastModifiedBy>
  <dcterms:created xsi:type="dcterms:W3CDTF">2026-06-06T16:24:43Z</dcterms:created>
  <dcterms:modified xsi:type="dcterms:W3CDTF">2026-06-06T16:44:54Z</dcterms:modified>
</cp:coreProperties>
</file>