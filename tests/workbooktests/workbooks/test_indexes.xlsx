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6A6A5A50-73BC-41E3-B5A8-7021008D08D3}" xr6:coauthVersionLast="47" xr6:coauthVersionMax="47" xr10:uidLastSave="{00000000-0000-0000-0000-000000000000}"/>
  <bookViews>
    <workbookView xWindow="-120" yWindow="-120" windowWidth="29040" windowHeight="15720" xr2:uid="{AF37F072-6F49-4006-A197-EC10E7EB6ED1}"/>
  </bookViews>
  <sheets>
    <sheet name="Tabs" sheetId="7" r:id="rId1"/>
    <sheet name="(InterestRate)Index" sheetId="5" r:id="rId2"/>
    <sheet name="IborIndex" sheetId="1" r:id="rId3"/>
    <sheet name="OvernightIndex" sheetId="2" r:id="rId4"/>
    <sheet name="Swap(Spread)Index" sheetId="3" r:id="rId5"/>
    <sheet name="EquityIndex" sheetId="4" r:id="rId6"/>
    <sheet name="BMAIndex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9" i="1" l="1"/>
  <c r="B29" i="1"/>
  <c r="C32" i="3"/>
  <c r="B32" i="3"/>
  <c r="C9" i="6" a="1"/>
  <c r="B9" i="6" a="1"/>
  <c r="B16" i="4" a="1"/>
  <c r="B15" i="4" a="1"/>
  <c r="B59" i="3" a="1"/>
  <c r="C21" i="3" a="1"/>
  <c r="B21" i="3" a="1"/>
  <c r="B43" i="2" a="1"/>
  <c r="B44" i="2" a="1"/>
  <c r="B13" i="1" a="1"/>
  <c r="B46" i="1" a="1"/>
  <c r="B51" i="1" a="1"/>
  <c r="B35" i="1" a="1"/>
  <c r="B41" i="2" a="1"/>
  <c r="B42" i="2" a="1"/>
  <c r="B40" i="1" a="1"/>
  <c r="B44" i="1" a="1"/>
  <c r="B49" i="1" a="1"/>
  <c r="B33" i="1" a="1"/>
  <c r="B39" i="3" a="1"/>
  <c r="C4" i="6" a="1"/>
  <c r="B37" i="3" a="1"/>
  <c r="B39" i="2" a="1"/>
  <c r="B40" i="2" a="1"/>
  <c r="B38" i="1" a="1"/>
  <c r="B42" i="1" a="1"/>
  <c r="B47" i="1" a="1"/>
  <c r="B31" i="1" a="1"/>
  <c r="B46" i="3" a="1"/>
  <c r="B38" i="3" a="1"/>
  <c r="B2" i="6" a="1"/>
  <c r="B45" i="3" a="1"/>
  <c r="B43" i="3" a="1"/>
  <c r="B37" i="1" a="1"/>
  <c r="B40" i="3" a="1"/>
  <c r="B37" i="2" a="1"/>
  <c r="B38" i="2" a="1"/>
  <c r="B56" i="1" a="1"/>
  <c r="B2" i="1" a="1"/>
  <c r="B45" i="1" a="1"/>
  <c r="B34" i="1" a="1"/>
  <c r="B35" i="2" a="1"/>
  <c r="B36" i="2" a="1"/>
  <c r="B54" i="1" a="1"/>
  <c r="B36" i="1" a="1"/>
  <c r="B43" i="1" a="1"/>
  <c r="B44" i="3" a="1"/>
  <c r="B36" i="3" a="1"/>
  <c r="B32" i="1" a="1"/>
  <c r="B53" i="1" a="1"/>
  <c r="B41" i="3" a="1"/>
  <c r="B33" i="2" a="1"/>
  <c r="B34" i="2" a="1"/>
  <c r="B52" i="1" a="1"/>
  <c r="B41" i="1" a="1"/>
  <c r="B35" i="3" a="1"/>
  <c r="B2" i="2" a="1"/>
  <c r="B31" i="2" a="1"/>
  <c r="B32" i="2" a="1"/>
  <c r="B50" i="1" a="1"/>
  <c r="B55" i="1" a="1"/>
  <c r="B39" i="1" a="1"/>
  <c r="B42" i="3" a="1"/>
  <c r="B45" i="2" a="1"/>
  <c r="B13" i="2" a="1"/>
  <c r="B30" i="2" a="1"/>
  <c r="B48" i="1" a="1"/>
  <c r="C9" i="6" l="1"/>
  <c r="B9" i="6"/>
  <c r="B16" i="4"/>
  <c r="B15" i="4"/>
  <c r="B59" i="3"/>
  <c r="C21" i="3"/>
  <c r="B21" i="3"/>
  <c r="B30" i="2"/>
  <c r="B32" i="2"/>
  <c r="B34" i="2"/>
  <c r="B36" i="2"/>
  <c r="B38" i="2"/>
  <c r="B40" i="2"/>
  <c r="B42" i="2"/>
  <c r="B44" i="2"/>
  <c r="B13" i="2"/>
  <c r="B31" i="2"/>
  <c r="B33" i="2"/>
  <c r="B35" i="2"/>
  <c r="B37" i="2"/>
  <c r="B39" i="2"/>
  <c r="B41" i="2"/>
  <c r="B43" i="2"/>
  <c r="B45" i="2"/>
  <c r="B2" i="2"/>
  <c r="B34" i="1"/>
  <c r="B31" i="1"/>
  <c r="B33" i="1"/>
  <c r="B35" i="1"/>
  <c r="B37" i="1"/>
  <c r="B39" i="1"/>
  <c r="B41" i="1"/>
  <c r="B43" i="1"/>
  <c r="B45" i="1"/>
  <c r="B47" i="1"/>
  <c r="B49" i="1"/>
  <c r="B51" i="1"/>
  <c r="B53" i="1"/>
  <c r="B55" i="1"/>
  <c r="B32" i="1"/>
  <c r="B36" i="1"/>
  <c r="B2" i="1"/>
  <c r="B42" i="1"/>
  <c r="B44" i="1"/>
  <c r="B46" i="1"/>
  <c r="B48" i="1"/>
  <c r="B50" i="1"/>
  <c r="B52" i="1"/>
  <c r="B54" i="1"/>
  <c r="B56" i="1"/>
  <c r="B38" i="1"/>
  <c r="B40" i="1"/>
  <c r="B13" i="1"/>
  <c r="B46" i="3"/>
  <c r="B45" i="3"/>
  <c r="B44" i="3"/>
  <c r="B43" i="3"/>
  <c r="B42" i="3"/>
  <c r="B41" i="3"/>
  <c r="B40" i="3"/>
  <c r="B39" i="3"/>
  <c r="B38" i="3"/>
  <c r="B37" i="3"/>
  <c r="B36" i="3"/>
  <c r="B35" i="3"/>
  <c r="C4" i="6"/>
  <c r="B2" i="6"/>
  <c r="B23" i="2" a="1"/>
  <c r="B20" i="2" a="1"/>
  <c r="B20" i="1" a="1"/>
  <c r="B12" i="1" a="1"/>
  <c r="B17" i="2" a="1"/>
  <c r="B16" i="2" a="1"/>
  <c r="B24" i="1" a="1"/>
  <c r="B26" i="2" a="1"/>
  <c r="B25" i="2" a="1"/>
  <c r="B16" i="1" a="1"/>
  <c r="B5" i="6" a="1"/>
  <c r="B23" i="1" a="1"/>
  <c r="B15" i="1" a="1"/>
  <c r="C5" i="6" a="1"/>
  <c r="B26" i="1" a="1"/>
  <c r="B21" i="2" a="1"/>
  <c r="B12" i="2" a="1"/>
  <c r="B21" i="1" a="1"/>
  <c r="B18" i="2" a="1"/>
  <c r="B22" i="2" a="1"/>
  <c r="C29" i="2" a="1"/>
  <c r="B25" i="1" a="1"/>
  <c r="B18" i="1" a="1"/>
  <c r="B17" i="1" a="1"/>
  <c r="B15" i="2" a="1"/>
  <c r="B22" i="1" a="1"/>
  <c r="B24" i="2" a="1"/>
  <c r="B18" i="2" l="1"/>
  <c r="C29" i="2"/>
  <c r="B12" i="2"/>
  <c r="B25" i="2"/>
  <c r="B16" i="2"/>
  <c r="B20" i="2"/>
  <c r="B24" i="2"/>
  <c r="B15" i="2"/>
  <c r="B23" i="2"/>
  <c r="B22" i="2"/>
  <c r="B21" i="2"/>
  <c r="B26" i="2"/>
  <c r="B17" i="2"/>
  <c r="B12" i="1"/>
  <c r="B26" i="1"/>
  <c r="B22" i="1"/>
  <c r="B17" i="1"/>
  <c r="B25" i="1"/>
  <c r="B21" i="1"/>
  <c r="B16" i="1"/>
  <c r="B24" i="1"/>
  <c r="B20" i="1"/>
  <c r="B15" i="1"/>
  <c r="B23" i="1"/>
  <c r="B18" i="1"/>
  <c r="B5" i="6"/>
  <c r="C5" i="6"/>
  <c r="I6" i="5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C32" i="2" a="1"/>
  <c r="C35" i="2" a="1"/>
  <c r="B13" i="6" a="1"/>
  <c r="B15" i="6" a="1"/>
  <c r="C15" i="6" a="1"/>
  <c r="C20" i="6" a="1"/>
  <c r="C34" i="2" a="1"/>
  <c r="C39" i="2" a="1"/>
  <c r="B12" i="6" a="1"/>
  <c r="C12" i="6" a="1"/>
  <c r="C23" i="6" a="1"/>
  <c r="C13" i="6" a="1"/>
  <c r="B17" i="6" a="1"/>
  <c r="C36" i="2" a="1"/>
  <c r="C41" i="2" a="1"/>
  <c r="B7" i="6" a="1"/>
  <c r="B8" i="6" a="1"/>
  <c r="C6" i="6" a="1"/>
  <c r="B26" i="5" a="1"/>
  <c r="C40" i="2" a="1"/>
  <c r="C43" i="2" a="1"/>
  <c r="B2" i="4" a="1"/>
  <c r="B27" i="2" a="1"/>
  <c r="C42" i="2" a="1"/>
  <c r="B2" i="5" a="1"/>
  <c r="C45" i="2" a="1"/>
  <c r="C14" i="6" a="1"/>
  <c r="C30" i="2" a="1"/>
  <c r="C37" i="2" a="1"/>
  <c r="B14" i="2" a="1"/>
  <c r="B6" i="6" a="1"/>
  <c r="C11" i="6" a="1"/>
  <c r="C17" i="6" a="1"/>
  <c r="B14" i="6" a="1"/>
  <c r="C38" i="2" a="1"/>
  <c r="C31" i="2" a="1"/>
  <c r="B27" i="1" a="1"/>
  <c r="B16" i="6" a="1"/>
  <c r="C7" i="6" a="1"/>
  <c r="B20" i="6" a="1"/>
  <c r="C44" i="2" a="1"/>
  <c r="C33" i="2" a="1"/>
  <c r="B14" i="1" a="1"/>
  <c r="B11" i="6" a="1"/>
  <c r="C16" i="6" a="1"/>
  <c r="B23" i="6" a="1"/>
  <c r="C8" i="6" a="1"/>
  <c r="B14" i="2" l="1"/>
  <c r="C45" i="2"/>
  <c r="C43" i="2"/>
  <c r="C41" i="2"/>
  <c r="C39" i="2"/>
  <c r="C35" i="2"/>
  <c r="C33" i="2"/>
  <c r="C31" i="2"/>
  <c r="C37" i="2"/>
  <c r="C42" i="2"/>
  <c r="C40" i="2"/>
  <c r="C36" i="2"/>
  <c r="C34" i="2"/>
  <c r="C32" i="2"/>
  <c r="C44" i="2"/>
  <c r="C38" i="2"/>
  <c r="C30" i="2"/>
  <c r="B27" i="2"/>
  <c r="B14" i="1"/>
  <c r="B27" i="1"/>
  <c r="C30" i="1"/>
  <c r="C17" i="6"/>
  <c r="C8" i="6"/>
  <c r="C13" i="6"/>
  <c r="C6" i="6"/>
  <c r="C12" i="6"/>
  <c r="C15" i="6"/>
  <c r="C16" i="6"/>
  <c r="C7" i="6"/>
  <c r="C11" i="6"/>
  <c r="C14" i="6"/>
  <c r="B8" i="6"/>
  <c r="B17" i="6"/>
  <c r="B15" i="6"/>
  <c r="B11" i="6"/>
  <c r="B16" i="6"/>
  <c r="B6" i="6"/>
  <c r="B14" i="6"/>
  <c r="B7" i="6"/>
  <c r="B12" i="6"/>
  <c r="B13" i="6"/>
  <c r="C23" i="6"/>
  <c r="C20" i="6"/>
  <c r="B23" i="6"/>
  <c r="B20" i="6"/>
  <c r="B26" i="5"/>
  <c r="B2" i="5"/>
  <c r="B2" i="4"/>
  <c r="C45" i="1" a="1"/>
  <c r="C31" i="1" a="1"/>
  <c r="C47" i="1" a="1"/>
  <c r="C46" i="1" a="1"/>
  <c r="C54" i="1" a="1"/>
  <c r="C33" i="1" a="1"/>
  <c r="C49" i="1" a="1"/>
  <c r="C50" i="1" a="1"/>
  <c r="B28" i="1" a="1"/>
  <c r="C35" i="1" a="1"/>
  <c r="C56" i="1" a="1"/>
  <c r="B5" i="5" a="1"/>
  <c r="C51" i="1" a="1"/>
  <c r="C37" i="1" a="1"/>
  <c r="C53" i="1" a="1"/>
  <c r="C38" i="1" a="1"/>
  <c r="B2" i="3" a="1"/>
  <c r="C39" i="1" a="1"/>
  <c r="C55" i="1" a="1"/>
  <c r="C40" i="1" a="1"/>
  <c r="H5" i="5" a="1"/>
  <c r="B9" i="4" a="1"/>
  <c r="B10" i="4" a="1"/>
  <c r="C41" i="1" a="1"/>
  <c r="C34" i="1" a="1"/>
  <c r="C44" i="1" a="1"/>
  <c r="B28" i="2" a="1"/>
  <c r="C43" i="1" a="1"/>
  <c r="C36" i="1" a="1"/>
  <c r="C48" i="1" a="1"/>
  <c r="C32" i="1" a="1"/>
  <c r="C42" i="1" a="1"/>
  <c r="C52" i="1" a="1"/>
  <c r="B10" i="4" l="1"/>
  <c r="B9" i="4"/>
  <c r="B28" i="2"/>
  <c r="B28" i="1"/>
  <c r="C54" i="1"/>
  <c r="C52" i="1"/>
  <c r="C48" i="1"/>
  <c r="C44" i="1"/>
  <c r="C40" i="1"/>
  <c r="C38" i="1"/>
  <c r="C56" i="1"/>
  <c r="C50" i="1"/>
  <c r="C46" i="1"/>
  <c r="C42" i="1"/>
  <c r="C36" i="1"/>
  <c r="C34" i="1"/>
  <c r="C55" i="1"/>
  <c r="C53" i="1"/>
  <c r="C51" i="1"/>
  <c r="C49" i="1"/>
  <c r="C47" i="1"/>
  <c r="C45" i="1"/>
  <c r="C43" i="1"/>
  <c r="C41" i="1"/>
  <c r="C39" i="1"/>
  <c r="C37" i="1"/>
  <c r="C35" i="1"/>
  <c r="C33" i="1"/>
  <c r="C31" i="1"/>
  <c r="C32" i="1"/>
  <c r="H5" i="5"/>
  <c r="B5" i="5"/>
  <c r="B2" i="3"/>
  <c r="C33" i="3" a="1"/>
  <c r="B13" i="5" a="1"/>
  <c r="C4" i="3" a="1"/>
  <c r="B11" i="5" a="1"/>
  <c r="B7" i="5" a="1"/>
  <c r="B17" i="5" a="1"/>
  <c r="B19" i="5" a="1"/>
  <c r="B10" i="5" a="1"/>
  <c r="B12" i="4" a="1"/>
  <c r="B4" i="3" a="1"/>
  <c r="B23" i="5" a="1"/>
  <c r="B21" i="5" a="1"/>
  <c r="B20" i="5" a="1"/>
  <c r="B12" i="5" a="1"/>
  <c r="B14" i="5" a="1"/>
  <c r="B48" i="3" a="1"/>
  <c r="D34" i="3" a="1"/>
  <c r="D33" i="3" a="1"/>
  <c r="B49" i="3" a="1"/>
  <c r="B18" i="5" a="1"/>
  <c r="B8" i="5" a="1"/>
  <c r="B15" i="5" a="1"/>
  <c r="C16" i="3" a="1"/>
  <c r="B49" i="3" l="1"/>
  <c r="D33" i="3"/>
  <c r="D34" i="3"/>
  <c r="B48" i="3"/>
  <c r="B12" i="4"/>
  <c r="C33" i="3"/>
  <c r="C16" i="3"/>
  <c r="B4" i="3"/>
  <c r="C4" i="3"/>
  <c r="B17" i="5"/>
  <c r="B12" i="5"/>
  <c r="B21" i="5"/>
  <c r="B19" i="5"/>
  <c r="B18" i="5"/>
  <c r="B15" i="5"/>
  <c r="B10" i="5"/>
  <c r="B14" i="5"/>
  <c r="B11" i="5"/>
  <c r="B13" i="5"/>
  <c r="B23" i="5"/>
  <c r="B7" i="5"/>
  <c r="B20" i="5"/>
  <c r="B8" i="5"/>
  <c r="J5" i="5" a="1"/>
  <c r="J14" i="5" a="1"/>
  <c r="C43" i="3" a="1"/>
  <c r="D42" i="3" a="1"/>
  <c r="C38" i="3" a="1"/>
  <c r="C46" i="3" a="1"/>
  <c r="J6" i="5" a="1"/>
  <c r="J16" i="5" a="1"/>
  <c r="J11" i="5" a="1"/>
  <c r="J22" i="5" a="1"/>
  <c r="J24" i="5" a="1"/>
  <c r="D37" i="3" a="1"/>
  <c r="C41" i="3" a="1"/>
  <c r="J8" i="5" a="1"/>
  <c r="J10" i="5" a="1"/>
  <c r="D38" i="3" a="1"/>
  <c r="J15" i="5" a="1"/>
  <c r="C35" i="3" a="1"/>
  <c r="J19" i="5" a="1"/>
  <c r="D40" i="3" a="1"/>
  <c r="C44" i="3" a="1"/>
  <c r="J7" i="5" a="1"/>
  <c r="C45" i="3" a="1"/>
  <c r="B18" i="4" a="1"/>
  <c r="B51" i="3" a="1"/>
  <c r="D35" i="3" a="1"/>
  <c r="D43" i="3" a="1"/>
  <c r="C39" i="3" a="1"/>
  <c r="C6" i="3" a="1"/>
  <c r="J13" i="5" a="1"/>
  <c r="J17" i="5" a="1"/>
  <c r="J21" i="5" a="1"/>
  <c r="B52" i="3" a="1"/>
  <c r="D36" i="3" a="1"/>
  <c r="D44" i="3" a="1"/>
  <c r="C40" i="3" a="1"/>
  <c r="B14" i="4" a="1"/>
  <c r="J23" i="5" a="1"/>
  <c r="D45" i="3" a="1"/>
  <c r="B13" i="4" a="1"/>
  <c r="J12" i="5" a="1"/>
  <c r="D46" i="3" a="1"/>
  <c r="C42" i="3" a="1"/>
  <c r="B22" i="5" a="1"/>
  <c r="J9" i="5" a="1"/>
  <c r="D39" i="3" a="1"/>
  <c r="B24" i="5" a="1"/>
  <c r="C36" i="3" a="1"/>
  <c r="B6" i="3" a="1"/>
  <c r="J20" i="5" a="1"/>
  <c r="D41" i="3" a="1"/>
  <c r="C37" i="3" a="1"/>
  <c r="J18" i="5" a="1"/>
  <c r="B52" i="3" l="1"/>
  <c r="B51" i="3"/>
  <c r="C46" i="3"/>
  <c r="C45" i="3"/>
  <c r="C44" i="3"/>
  <c r="C43" i="3"/>
  <c r="C42" i="3"/>
  <c r="C41" i="3"/>
  <c r="C40" i="3"/>
  <c r="C39" i="3"/>
  <c r="C38" i="3"/>
  <c r="C37" i="3"/>
  <c r="C36" i="3"/>
  <c r="C35" i="3"/>
  <c r="D46" i="3"/>
  <c r="D45" i="3"/>
  <c r="D44" i="3"/>
  <c r="D43" i="3"/>
  <c r="D42" i="3"/>
  <c r="D41" i="3"/>
  <c r="D40" i="3"/>
  <c r="D39" i="3"/>
  <c r="D38" i="3"/>
  <c r="D37" i="3"/>
  <c r="D36" i="3"/>
  <c r="D35" i="3"/>
  <c r="C6" i="3"/>
  <c r="C15" i="3" s="1"/>
  <c r="B13" i="4"/>
  <c r="B14" i="4"/>
  <c r="B6" i="3"/>
  <c r="B15" i="3" s="1"/>
  <c r="B18" i="4"/>
  <c r="J20" i="5"/>
  <c r="J12" i="5"/>
  <c r="J16" i="5"/>
  <c r="J8" i="5"/>
  <c r="J6" i="5"/>
  <c r="J21" i="5"/>
  <c r="J9" i="5"/>
  <c r="J11" i="5"/>
  <c r="J5" i="5"/>
  <c r="J23" i="5"/>
  <c r="J14" i="5"/>
  <c r="J22" i="5"/>
  <c r="J18" i="5"/>
  <c r="J19" i="5"/>
  <c r="J10" i="5"/>
  <c r="J24" i="5"/>
  <c r="J15" i="5"/>
  <c r="J17" i="5"/>
  <c r="J7" i="5"/>
  <c r="J13" i="5"/>
  <c r="B24" i="5"/>
  <c r="B22" i="5"/>
  <c r="B55" i="3" a="1"/>
  <c r="C17" i="3" a="1"/>
  <c r="B17" i="3" a="1"/>
  <c r="B17" i="3" l="1"/>
  <c r="C17" i="3"/>
  <c r="B55" i="3"/>
  <c r="B66" i="3" a="1"/>
  <c r="B67" i="3" a="1"/>
  <c r="B26" i="3" a="1"/>
  <c r="B63" i="3" a="1"/>
  <c r="B27" i="3" a="1"/>
  <c r="B23" i="3" a="1"/>
  <c r="B20" i="3" a="1"/>
  <c r="C26" i="3" a="1"/>
  <c r="C23" i="3" a="1"/>
  <c r="B24" i="3" a="1"/>
  <c r="C18" i="3" a="1"/>
  <c r="C27" i="3" a="1"/>
  <c r="B64" i="3" a="1"/>
  <c r="B28" i="3" a="1"/>
  <c r="B29" i="3" a="1"/>
  <c r="B58" i="3" a="1"/>
  <c r="C24" i="3" a="1"/>
  <c r="C20" i="3" a="1"/>
  <c r="B56" i="3" a="1"/>
  <c r="B18" i="3" a="1"/>
  <c r="B70" i="3" a="1"/>
  <c r="C28" i="3" a="1"/>
  <c r="C29" i="3" a="1"/>
  <c r="B61" i="3" a="1"/>
  <c r="B19" i="3" a="1"/>
  <c r="B71" i="3" a="1"/>
  <c r="B57" i="3" a="1"/>
  <c r="B65" i="3" a="1"/>
  <c r="B25" i="3" a="1"/>
  <c r="C25" i="3" a="1"/>
  <c r="C19" i="3" a="1"/>
  <c r="B62" i="3" a="1"/>
  <c r="C29" i="3" l="1"/>
  <c r="C20" i="3"/>
  <c r="C27" i="3"/>
  <c r="C23" i="3"/>
  <c r="C26" i="3"/>
  <c r="C19" i="3"/>
  <c r="C25" i="3"/>
  <c r="C28" i="3"/>
  <c r="C24" i="3"/>
  <c r="C18" i="3"/>
  <c r="B67" i="3"/>
  <c r="B58" i="3"/>
  <c r="B65" i="3"/>
  <c r="B61" i="3"/>
  <c r="B56" i="3"/>
  <c r="B64" i="3"/>
  <c r="B63" i="3"/>
  <c r="B66" i="3"/>
  <c r="B62" i="3"/>
  <c r="B57" i="3"/>
  <c r="B29" i="3"/>
  <c r="B20" i="3"/>
  <c r="B23" i="3"/>
  <c r="B26" i="3"/>
  <c r="B25" i="3"/>
  <c r="B19" i="3"/>
  <c r="B18" i="3"/>
  <c r="B28" i="3"/>
  <c r="B24" i="3"/>
  <c r="B27" i="3"/>
  <c r="B71" i="3"/>
  <c r="B70" i="3"/>
  <c r="C30" i="3" a="1"/>
  <c r="B68" i="3" a="1"/>
  <c r="B30" i="3" a="1"/>
  <c r="C30" i="3" l="1"/>
  <c r="B68" i="3"/>
  <c r="B30" i="3"/>
  <c r="B31" i="3" a="1"/>
  <c r="C31" i="3" a="1"/>
  <c r="C31" i="3" l="1"/>
  <c r="B3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<sst xmlns="http://schemas.openxmlformats.org/spreadsheetml/2006/main" count="273" uniqueCount="149">
  <si>
    <t>familyName</t>
  </si>
  <si>
    <t>tenor</t>
  </si>
  <si>
    <t>settlementDays</t>
  </si>
  <si>
    <t>currency</t>
  </si>
  <si>
    <t>calendar</t>
  </si>
  <si>
    <t>convention</t>
  </si>
  <si>
    <t>endOfMonth</t>
  </si>
  <si>
    <t>dayCounter</t>
  </si>
  <si>
    <t>projectionCurve</t>
  </si>
  <si>
    <t>MyIndex</t>
  </si>
  <si>
    <t>3m</t>
  </si>
  <si>
    <t>EUR</t>
  </si>
  <si>
    <t>Target</t>
  </si>
  <si>
    <t>Following</t>
  </si>
  <si>
    <t>Actual360</t>
  </si>
  <si>
    <t>referenceDate</t>
  </si>
  <si>
    <t>qlIborIndex</t>
  </si>
  <si>
    <t>qlIborIndex w/ curve</t>
  </si>
  <si>
    <t>evaluationDate</t>
  </si>
  <si>
    <t>qlCdor</t>
  </si>
  <si>
    <t>qlBbsw</t>
  </si>
  <si>
    <t>qlBkbm</t>
  </si>
  <si>
    <t>qlEuribor</t>
  </si>
  <si>
    <t>qlEuribor365</t>
  </si>
  <si>
    <t>qlJibar</t>
  </si>
  <si>
    <t>qlMosprime</t>
  </si>
  <si>
    <t>qlNZDLibor</t>
  </si>
  <si>
    <t>qlPribor</t>
  </si>
  <si>
    <t>qlRobor</t>
  </si>
  <si>
    <t>qlShibor</t>
  </si>
  <si>
    <t>qlTibor</t>
  </si>
  <si>
    <t>qlTHBFIX</t>
  </si>
  <si>
    <t>qlWibor</t>
  </si>
  <si>
    <t>qlZibor</t>
  </si>
  <si>
    <t>qlAUDLibor</t>
  </si>
  <si>
    <t>qlCADLibor</t>
  </si>
  <si>
    <t>qlCHFLibor</t>
  </si>
  <si>
    <t>qlDKKLibor</t>
  </si>
  <si>
    <t>qlEURLibor</t>
  </si>
  <si>
    <t>qlGBPLibor</t>
  </si>
  <si>
    <t>qlJPYLibor</t>
  </si>
  <si>
    <t>qlSEKLibor</t>
  </si>
  <si>
    <t>qlTRLibor</t>
  </si>
  <si>
    <t>qlUSDLibor</t>
  </si>
  <si>
    <t>qlOvernightIndex</t>
  </si>
  <si>
    <t>qlOvernightIndex w/ curve</t>
  </si>
  <si>
    <t>qlAonia</t>
  </si>
  <si>
    <t>qlCdi</t>
  </si>
  <si>
    <t>qlCorra</t>
  </si>
  <si>
    <t>qlDestr</t>
  </si>
  <si>
    <t>qlEonia</t>
  </si>
  <si>
    <t>qlEstr</t>
  </si>
  <si>
    <t>qlFedFunds</t>
  </si>
  <si>
    <t>qlKofr</t>
  </si>
  <si>
    <t>qlNzocr</t>
  </si>
  <si>
    <t>qlSaron</t>
  </si>
  <si>
    <t>qlSofr</t>
  </si>
  <si>
    <t>qlSonia</t>
  </si>
  <si>
    <t>qlSwestr</t>
  </si>
  <si>
    <t>qlTonar</t>
  </si>
  <si>
    <t>fixedLegConvention</t>
  </si>
  <si>
    <t>fixedLegDayCounter</t>
  </si>
  <si>
    <t>iborIndex</t>
  </si>
  <si>
    <t>discountCurve</t>
  </si>
  <si>
    <t>MySwapIndex</t>
  </si>
  <si>
    <t>10y</t>
  </si>
  <si>
    <t>Thirty360</t>
  </si>
  <si>
    <t>Ibor Term</t>
  </si>
  <si>
    <t>1m</t>
  </si>
  <si>
    <t>Euribor</t>
  </si>
  <si>
    <t>qlSwapIndex</t>
  </si>
  <si>
    <t>fixedLegTenor</t>
  </si>
  <si>
    <t>1Y</t>
  </si>
  <si>
    <t>EuriborSwapIsdaFixA</t>
  </si>
  <si>
    <t>EuriborSwapIsdaFixB</t>
  </si>
  <si>
    <t>EuriborSwapIfrFix</t>
  </si>
  <si>
    <t>EurLiborSwapIsdaFixA</t>
  </si>
  <si>
    <t>EurLiborSwapIsdaFixB</t>
  </si>
  <si>
    <t>EurLiborSwapIfrFix</t>
  </si>
  <si>
    <t>ChfLiborSwapIsdaFix</t>
  </si>
  <si>
    <t>GbpLiborSwapIsdaFix</t>
  </si>
  <si>
    <t>JpyLiborSwapIsdaFixAm</t>
  </si>
  <si>
    <t>JpyLiborSwapIsdaFixPm</t>
  </si>
  <si>
    <t>UsdLiborSwapIsdaFixAm</t>
  </si>
  <si>
    <t>UsdLiborSwapIsdaFixPm</t>
  </si>
  <si>
    <t>2y</t>
  </si>
  <si>
    <t>Gearing1</t>
  </si>
  <si>
    <t>Gearing2</t>
  </si>
  <si>
    <t>qlSwapSpreadIndex</t>
  </si>
  <si>
    <t>FamilyName</t>
  </si>
  <si>
    <t>MySwapSpread</t>
  </si>
  <si>
    <t>qlIndexFixing</t>
  </si>
  <si>
    <t>qlSwapIndexForecastFixing</t>
  </si>
  <si>
    <t>interest rate</t>
  </si>
  <si>
    <t>div rate</t>
  </si>
  <si>
    <t>discCurve</t>
  </si>
  <si>
    <t>divCurve</t>
  </si>
  <si>
    <t>Spot</t>
  </si>
  <si>
    <t>Name</t>
  </si>
  <si>
    <t>MyDax</t>
  </si>
  <si>
    <t>fixingCalendar</t>
  </si>
  <si>
    <t>NullCalendar</t>
  </si>
  <si>
    <t>Currency</t>
  </si>
  <si>
    <t>qlEquityIndex</t>
  </si>
  <si>
    <t>Index</t>
  </si>
  <si>
    <t>Tenor</t>
  </si>
  <si>
    <t>6M</t>
  </si>
  <si>
    <t>qlIndexName</t>
  </si>
  <si>
    <t>qlIndexFixingCalendar</t>
  </si>
  <si>
    <t>qlIndexIsValidFixingDate</t>
  </si>
  <si>
    <t>qlIndexHasHistoricalFixing</t>
  </si>
  <si>
    <t>qlIndexPastFixing</t>
  </si>
  <si>
    <t>qlIndexAddFixing</t>
  </si>
  <si>
    <t>qlIndexAddFixings</t>
  </si>
  <si>
    <t>Dates</t>
  </si>
  <si>
    <t>Fixing</t>
  </si>
  <si>
    <t>forceOverride</t>
  </si>
  <si>
    <t>qlIndexTimeSeries</t>
  </si>
  <si>
    <t>qlInterestRateIndexFamilyName</t>
  </si>
  <si>
    <t>qlInterestRateIndexTenor</t>
  </si>
  <si>
    <t>qlInterestRateIndexFixingDays</t>
  </si>
  <si>
    <t>qlInterestRateIndexCurrency</t>
  </si>
  <si>
    <t>qlInterestRateIndexDayCounter</t>
  </si>
  <si>
    <t>qlInterestRateIndexValueDate</t>
  </si>
  <si>
    <t>qlInterestRateIndexMaturityDate</t>
  </si>
  <si>
    <t>qlInterestRateIndexFixingDate</t>
  </si>
  <si>
    <t>qlIndexManagerHistories</t>
  </si>
  <si>
    <t>Tabs</t>
  </si>
  <si>
    <t>IborIndex</t>
  </si>
  <si>
    <t>OvernightIndex</t>
  </si>
  <si>
    <t>Swap(Spread)Index</t>
  </si>
  <si>
    <t>EquityIndex</t>
  </si>
  <si>
    <t>(InterestRate)Index</t>
  </si>
  <si>
    <t>BMAIndex</t>
  </si>
  <si>
    <t>projetcion_curve</t>
  </si>
  <si>
    <t>qlBMAIndex</t>
  </si>
  <si>
    <t>qlBMAIndexForwardingTermStructure</t>
  </si>
  <si>
    <t>qlBMAIndexFixingSchedule</t>
  </si>
  <si>
    <t>start_date</t>
  </si>
  <si>
    <t>end_date</t>
  </si>
  <si>
    <t>qlNibor</t>
  </si>
  <si>
    <t>qlShir</t>
  </si>
  <si>
    <t>projetction_curve</t>
  </si>
  <si>
    <t>discount_curve</t>
  </si>
  <si>
    <t>10Y</t>
  </si>
  <si>
    <t>disc_curve</t>
  </si>
  <si>
    <t>proj_curve</t>
  </si>
  <si>
    <t>projection_curve</t>
  </si>
  <si>
    <t>qlZaronia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</si>
</sst>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/>
    <xf numFmtId="14" fontId="0" fillId="0" borderId="0" xfId="0" applyNumberFormat="1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0" fontId="1" fillId="0" borderId="5" xfId="0" applyFont="1" applyBorder="1"/>
    <xf numFmtId="0" fontId="0" fillId="0" borderId="6" xfId="0" applyBorder="1" applyAlignment="1">
      <alignment horizontal="left"/>
    </xf>
    <xf numFmtId="0" fontId="1" fillId="0" borderId="7" xfId="0" applyFont="1" applyBorder="1"/>
    <xf numFmtId="0" fontId="0" fillId="0" borderId="8" xfId="0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1" fillId="0" borderId="1" xfId="0" applyFont="1" applyBorder="1"/>
    <xf numFmtId="0" fontId="0" fillId="0" borderId="9" xfId="0" applyBorder="1" applyAlignment="1">
      <alignment horizontal="left"/>
    </xf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0" fillId="0" borderId="10" xfId="0" applyBorder="1" applyAlignment="1">
      <alignment horizontal="left"/>
    </xf>
    <xf numFmtId="0" fontId="0" fillId="0" borderId="6" xfId="0" applyBorder="1"/>
    <xf numFmtId="14" fontId="0" fillId="0" borderId="4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0" fillId="0" borderId="5" xfId="0" applyBorder="1"/>
    <xf numFmtId="0" fontId="0" fillId="0" borderId="10" xfId="0" applyBorder="1"/>
    <xf numFmtId="14" fontId="0" fillId="0" borderId="2" xfId="0" applyNumberFormat="1" applyBorder="1" applyAlignment="1">
      <alignment horizontal="left"/>
    </xf>
    <xf numFmtId="2" fontId="0" fillId="0" borderId="4" xfId="0" applyNumberFormat="1" applyBorder="1" applyAlignment="1">
      <alignment horizontal="left"/>
    </xf>
    <xf numFmtId="2" fontId="0" fillId="0" borderId="6" xfId="0" applyNumberFormat="1" applyBorder="1" applyAlignment="1">
      <alignment horizontal="left"/>
    </xf>
    <xf numFmtId="164" fontId="0" fillId="0" borderId="4" xfId="0" applyNumberFormat="1" applyBorder="1" applyAlignment="1">
      <alignment horizontal="left"/>
    </xf>
    <xf numFmtId="164" fontId="0" fillId="0" borderId="8" xfId="0" applyNumberFormat="1" applyBorder="1" applyAlignment="1">
      <alignment horizontal="left"/>
    </xf>
    <xf numFmtId="2" fontId="0" fillId="0" borderId="2" xfId="0" applyNumberFormat="1" applyBorder="1"/>
    <xf numFmtId="14" fontId="0" fillId="0" borderId="9" xfId="0" applyNumberFormat="1" applyBorder="1" applyAlignment="1">
      <alignment horizontal="left"/>
    </xf>
    <xf numFmtId="14" fontId="0" fillId="0" borderId="10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0" fillId="0" borderId="3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0" fillId="0" borderId="3" xfId="0" applyFont="1" applyFill="1" applyBorder="1"/>
    <xf numFmtId="0" fontId="0" fillId="0" borderId="11" xfId="0" applyBorder="1"/>
    <xf numFmtId="0" fontId="0" fillId="0" borderId="8" xfId="0" applyBorder="1"/>
    <xf numFmtId="0" fontId="0" fillId="0" borderId="5" xfId="0" applyFont="1" applyBorder="1"/>
    <xf numFmtId="0" fontId="0" fillId="0" borderId="7" xfId="0" applyFont="1" applyBorder="1"/>
    <xf numFmtId="0" fontId="1" fillId="0" borderId="7" xfId="0" applyFont="1" applyFill="1" applyBorder="1"/>
    <xf numFmtId="0" fontId="1" fillId="0" borderId="12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0955-5545-4389-9CE5-BBD575AD42BE}">
  <dimension ref="B1:B8"/>
  <sheetViews>
    <sheetView tabSelected="1" workbookViewId="0">
      <selection activeCell="B15" sqref="B15"/>
    </sheetView>
  </sheetViews>
  <sheetFormatPr baseColWidth="10" defaultRowHeight="15" x14ac:dyDescent="0.25"/>
  <cols>
    <col min="2" max="2" width="18.85546875" customWidth="1"/>
  </cols>
  <sheetData>
    <row r="1" spans="2:2" ht="15.75" thickBot="1" x14ac:dyDescent="0.3"/>
    <row r="2" spans="2:2" ht="15.75" thickBot="1" x14ac:dyDescent="0.3">
      <c r="B2" s="46" t="s">
        <v>127</v>
      </c>
    </row>
    <row r="3" spans="2:2" x14ac:dyDescent="0.25">
      <c r="B3" s="47" t="s">
        <v>132</v>
      </c>
    </row>
    <row r="4" spans="2:2" x14ac:dyDescent="0.25">
      <c r="B4" s="48" t="s">
        <v>128</v>
      </c>
    </row>
    <row r="5" spans="2:2" x14ac:dyDescent="0.25">
      <c r="B5" s="48" t="s">
        <v>129</v>
      </c>
    </row>
    <row r="6" spans="2:2" x14ac:dyDescent="0.25">
      <c r="B6" s="48" t="s">
        <v>130</v>
      </c>
    </row>
    <row r="7" spans="2:2" x14ac:dyDescent="0.25">
      <c r="B7" s="48" t="s">
        <v>131</v>
      </c>
    </row>
    <row r="8" spans="2:2" ht="15.75" thickBot="1" x14ac:dyDescent="0.3">
      <c r="B8" s="49" t="s">
        <v>133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CD61-CDB8-40D1-8064-07D15D24F655}">
  <dimension ref="A1:J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baseColWidth="10" defaultColWidth="9.140625" defaultRowHeight="15" x14ac:dyDescent="0.25"/>
  <cols>
    <col min="1" max="1" width="28.85546875" bestFit="1" customWidth="1"/>
    <col min="2" max="2" width="15.140625" customWidth="1"/>
    <col min="5" max="5" width="10.140625" bestFit="1" customWidth="1"/>
    <col min="7" max="7" width="20.42578125" customWidth="1"/>
    <col min="8" max="8" width="10.140625" bestFit="1" customWidth="1"/>
    <col min="10" max="10" width="12.5703125" bestFit="1" customWidth="1"/>
  </cols>
  <sheetData>
    <row r="1" spans="1:10" x14ac:dyDescent="0.25">
      <c r="A1" t="s">
        <v>15</v>
      </c>
      <c r="B1" s="1">
        <v>45658</v>
      </c>
    </row>
    <row r="2" spans="1:10" x14ac:dyDescent="0.25">
      <c r="A2" t="s">
        <v>18</v>
      </c>
      <c r="B2" s="1" cm="1">
        <f t="array" ref="B2">_xll.qlSettingsSetEvaluationDate(B1)</f>
        <v>45658</v>
      </c>
    </row>
    <row r="4" spans="1:10" x14ac:dyDescent="0.25">
      <c r="A4" t="s">
        <v>105</v>
      </c>
      <c r="B4" t="s">
        <v>106</v>
      </c>
      <c r="H4" t="s">
        <v>114</v>
      </c>
      <c r="I4" t="s">
        <v>115</v>
      </c>
      <c r="J4" t="s">
        <v>91</v>
      </c>
    </row>
    <row r="5" spans="1:10" x14ac:dyDescent="0.25">
      <c r="A5" t="s">
        <v>104</v>
      </c>
      <c r="B5" t="str" cm="1">
        <f t="array" ref="B5">_xll.qlEuribor(B4,,B2)</f>
        <v>欣[test_indexes.xlsx](InterestRate)Index!R5C2Euribor,A</v>
      </c>
      <c r="H5" s="1" cm="1">
        <f t="array" ref="H5:H24">_xll.qlCalendarBusinessDayList("Target",B2-30,B2)</f>
        <v>45628</v>
      </c>
      <c r="I5">
        <v>0.03</v>
      </c>
      <c r="J5" cm="1">
        <f t="array" ref="J5">_xll.qlIndexFixing($B$5,H5,,$B$8)</f>
        <v>0.03</v>
      </c>
    </row>
    <row r="6" spans="1:10" x14ac:dyDescent="0.25">
      <c r="A6" t="s">
        <v>116</v>
      </c>
      <c r="B6" t="b">
        <v>1</v>
      </c>
      <c r="H6" s="1">
        <v>45629</v>
      </c>
      <c r="I6">
        <f>I5+0.001</f>
        <v>3.1E-2</v>
      </c>
      <c r="J6" cm="1">
        <f t="array" ref="J6">_xll.qlIndexFixing($B$5,H6,,$B$8)</f>
        <v>3.1E-2</v>
      </c>
    </row>
    <row r="7" spans="1:10" x14ac:dyDescent="0.25">
      <c r="A7" t="s">
        <v>112</v>
      </c>
      <c r="B7" t="b" cm="1">
        <f t="array" ref="B7">_xll.qlIndexAddFixing(B5,H5,I5,B6)</f>
        <v>1</v>
      </c>
      <c r="H7" s="1">
        <v>45630</v>
      </c>
      <c r="I7">
        <f t="shared" ref="I7:I24" si="0">I6+0.001</f>
        <v>3.2000000000000001E-2</v>
      </c>
      <c r="J7" cm="1">
        <f t="array" ref="J7">_xll.qlIndexFixing($B$5,H7,,$B$8)</f>
        <v>3.2000000000000001E-2</v>
      </c>
    </row>
    <row r="8" spans="1:10" x14ac:dyDescent="0.25">
      <c r="A8" t="s">
        <v>113</v>
      </c>
      <c r="B8" t="b" cm="1">
        <f t="array" ref="B8">_xll.qlIndexAddFixings(B5,_xlfn.ANCHORARRAY(H5),I5:I24,B6)</f>
        <v>1</v>
      </c>
      <c r="H8" s="1">
        <v>45631</v>
      </c>
      <c r="I8">
        <f t="shared" si="0"/>
        <v>3.3000000000000002E-2</v>
      </c>
      <c r="J8" cm="1">
        <f t="array" ref="J8">_xll.qlIndexFixing($B$5,H8,,$B$8)</f>
        <v>3.3000000000000002E-2</v>
      </c>
    </row>
    <row r="9" spans="1:10" x14ac:dyDescent="0.25">
      <c r="H9" s="1">
        <v>45632</v>
      </c>
      <c r="I9">
        <f t="shared" si="0"/>
        <v>3.4000000000000002E-2</v>
      </c>
      <c r="J9" cm="1">
        <f t="array" ref="J9">_xll.qlIndexFixing($B$5,H9,,$B$8)</f>
        <v>3.4000000000000002E-2</v>
      </c>
    </row>
    <row r="10" spans="1:10" x14ac:dyDescent="0.25">
      <c r="A10" t="s">
        <v>107</v>
      </c>
      <c r="B10" t="str" cm="1">
        <f t="array" ref="B10">_xll.qlIndexName(B5)</f>
        <v>Euribor6M Actual/360</v>
      </c>
      <c r="H10" s="1">
        <v>45635</v>
      </c>
      <c r="I10">
        <f t="shared" si="0"/>
        <v>3.5000000000000003E-2</v>
      </c>
      <c r="J10" cm="1">
        <f t="array" ref="J10">_xll.qlIndexFixing($B$5,H10,,$B$8)</f>
        <v>3.5000000000000003E-2</v>
      </c>
    </row>
    <row r="11" spans="1:10" x14ac:dyDescent="0.25">
      <c r="A11" t="s">
        <v>108</v>
      </c>
      <c r="B11" t="str" cm="1">
        <f t="array" ref="B11">_xll.qlIndexFixingCalendar(B5)</f>
        <v>TARGET</v>
      </c>
      <c r="H11" s="1">
        <v>45636</v>
      </c>
      <c r="I11">
        <f t="shared" si="0"/>
        <v>3.6000000000000004E-2</v>
      </c>
      <c r="J11" cm="1">
        <f t="array" ref="J11">_xll.qlIndexFixing($B$5,H11,,$B$8)</f>
        <v>3.6000000000000004E-2</v>
      </c>
    </row>
    <row r="12" spans="1:10" x14ac:dyDescent="0.25">
      <c r="A12" t="s">
        <v>109</v>
      </c>
      <c r="B12" t="b" cm="1">
        <f t="array" ref="B12">_xll.qlIndexIsValidFixingDate(B5,H5)</f>
        <v>1</v>
      </c>
      <c r="H12" s="1">
        <v>45637</v>
      </c>
      <c r="I12">
        <f t="shared" si="0"/>
        <v>3.7000000000000005E-2</v>
      </c>
      <c r="J12" cm="1">
        <f t="array" ref="J12">_xll.qlIndexFixing($B$5,H12,,$B$8)</f>
        <v>3.7000000000000005E-2</v>
      </c>
    </row>
    <row r="13" spans="1:10" x14ac:dyDescent="0.25">
      <c r="A13" t="s">
        <v>110</v>
      </c>
      <c r="B13" t="b" cm="1">
        <f t="array" ref="B13">_xll.qlIndexHasHistoricalFixing(B5,H5)</f>
        <v>0</v>
      </c>
      <c r="H13" s="1">
        <v>45638</v>
      </c>
      <c r="I13">
        <f t="shared" si="0"/>
        <v>3.8000000000000006E-2</v>
      </c>
      <c r="J13" cm="1">
        <f t="array" ref="J13">_xll.qlIndexFixing($B$5,H13,,$B$8)</f>
        <v>3.8000000000000006E-2</v>
      </c>
    </row>
    <row r="14" spans="1:10" x14ac:dyDescent="0.25">
      <c r="A14" t="s">
        <v>111</v>
      </c>
      <c r="B14" cm="1">
        <f t="array" ref="B14">_xll.qlIndexPastFixing(B5,H24)</f>
        <v>3.4028234663852886E+38</v>
      </c>
      <c r="H14" s="1">
        <v>45639</v>
      </c>
      <c r="I14">
        <f t="shared" si="0"/>
        <v>3.9000000000000007E-2</v>
      </c>
      <c r="J14" cm="1">
        <f t="array" ref="J14">_xll.qlIndexFixing($B$5,H14,,$B$8)</f>
        <v>3.9000000000000007E-2</v>
      </c>
    </row>
    <row r="15" spans="1:10" x14ac:dyDescent="0.25">
      <c r="A15" t="s">
        <v>117</v>
      </c>
      <c r="B15" t="str" cm="1">
        <f t="array" ref="B15">_xll.qlIndexTimeSeries(B5)</f>
        <v>欣[test_indexes.xlsx](InterestRate)Index!R15C2RealTimeSeries,A</v>
      </c>
      <c r="H15" s="1">
        <v>45642</v>
      </c>
      <c r="I15">
        <f t="shared" si="0"/>
        <v>4.0000000000000008E-2</v>
      </c>
      <c r="J15" cm="1">
        <f t="array" ref="J15">_xll.qlIndexFixing($B$5,H15,,$B$8)</f>
        <v>4.0000000000000008E-2</v>
      </c>
    </row>
    <row r="16" spans="1:10" x14ac:dyDescent="0.25">
      <c r="H16" s="1">
        <v>45643</v>
      </c>
      <c r="I16">
        <f t="shared" si="0"/>
        <v>4.1000000000000009E-2</v>
      </c>
      <c r="J16" cm="1">
        <f t="array" ref="J16">_xll.qlIndexFixing($B$5,H16,,$B$8)</f>
        <v>4.1000000000000009E-2</v>
      </c>
    </row>
    <row r="17" spans="1:10" x14ac:dyDescent="0.25">
      <c r="A17" t="s">
        <v>118</v>
      </c>
      <c r="B17" t="str" cm="1">
        <f t="array" ref="B17">_xll.qlInterestRateIndexFamilyName(B5)</f>
        <v>Euribor</v>
      </c>
      <c r="H17" s="1">
        <v>45644</v>
      </c>
      <c r="I17">
        <f t="shared" si="0"/>
        <v>4.200000000000001E-2</v>
      </c>
      <c r="J17" cm="1">
        <f t="array" ref="J17">_xll.qlIndexFixing($B$5,H17,,$B$8)</f>
        <v>4.200000000000001E-2</v>
      </c>
    </row>
    <row r="18" spans="1:10" x14ac:dyDescent="0.25">
      <c r="A18" t="s">
        <v>119</v>
      </c>
      <c r="B18" t="str" cm="1">
        <f t="array" ref="B18">_xll.qlInterestRateIndexTenor(B5)</f>
        <v>6M</v>
      </c>
      <c r="H18" s="1">
        <v>45645</v>
      </c>
      <c r="I18">
        <f t="shared" si="0"/>
        <v>4.300000000000001E-2</v>
      </c>
      <c r="J18" cm="1">
        <f t="array" ref="J18">_xll.qlIndexFixing($B$5,H18,,$B$8)</f>
        <v>4.300000000000001E-2</v>
      </c>
    </row>
    <row r="19" spans="1:10" x14ac:dyDescent="0.25">
      <c r="A19" t="s">
        <v>120</v>
      </c>
      <c r="B19" cm="1">
        <f t="array" ref="B19">_xll.qlInterestRateIndexFixingDays(B5)</f>
        <v>2</v>
      </c>
      <c r="H19" s="1">
        <v>45646</v>
      </c>
      <c r="I19">
        <f t="shared" si="0"/>
        <v>4.4000000000000011E-2</v>
      </c>
      <c r="J19" cm="1">
        <f t="array" ref="J19">_xll.qlIndexFixing($B$5,H19,,$B$8)</f>
        <v>4.4000000000000011E-2</v>
      </c>
    </row>
    <row r="20" spans="1:10" x14ac:dyDescent="0.25">
      <c r="A20" t="s">
        <v>121</v>
      </c>
      <c r="B20" t="str" cm="1">
        <f t="array" ref="B20">_xll.qlCurrencyCode(_xll.qlInterestRateIndexCurrency(B5))</f>
        <v>EUR</v>
      </c>
      <c r="H20" s="1">
        <v>45649</v>
      </c>
      <c r="I20">
        <f t="shared" si="0"/>
        <v>4.5000000000000012E-2</v>
      </c>
      <c r="J20" cm="1">
        <f t="array" ref="J20">_xll.qlIndexFixing($B$5,H20,,$B$8)</f>
        <v>4.5000000000000012E-2</v>
      </c>
    </row>
    <row r="21" spans="1:10" x14ac:dyDescent="0.25">
      <c r="A21" t="s">
        <v>122</v>
      </c>
      <c r="B21" t="str" cm="1">
        <f t="array" ref="B21">_xll.qlInterestRateIndexDayCounter(B5)</f>
        <v>Actual/360</v>
      </c>
      <c r="H21" s="1">
        <v>45650</v>
      </c>
      <c r="I21">
        <f t="shared" si="0"/>
        <v>4.6000000000000013E-2</v>
      </c>
      <c r="J21" cm="1">
        <f t="array" ref="J21">_xll.qlIndexFixing($B$5,H21,,$B$8)</f>
        <v>4.6000000000000013E-2</v>
      </c>
    </row>
    <row r="22" spans="1:10" x14ac:dyDescent="0.25">
      <c r="A22" t="s">
        <v>125</v>
      </c>
      <c r="B22" s="1" cm="1">
        <f t="array" ref="B22">_xll.qlInterestRateIndexFixingDate(B5,B23)</f>
        <v>45628</v>
      </c>
      <c r="H22" s="1">
        <v>45653</v>
      </c>
      <c r="I22">
        <f t="shared" si="0"/>
        <v>4.7000000000000014E-2</v>
      </c>
      <c r="J22" cm="1">
        <f t="array" ref="J22">_xll.qlIndexFixing($B$5,H22,,$B$8)</f>
        <v>4.7000000000000014E-2</v>
      </c>
    </row>
    <row r="23" spans="1:10" x14ac:dyDescent="0.25">
      <c r="A23" t="s">
        <v>123</v>
      </c>
      <c r="B23" s="1" cm="1">
        <f t="array" ref="B23">_xll.qlInterestRateIndexValueDate(B5,H5)</f>
        <v>45630</v>
      </c>
      <c r="H23" s="1">
        <v>45656</v>
      </c>
      <c r="I23">
        <f t="shared" si="0"/>
        <v>4.8000000000000015E-2</v>
      </c>
      <c r="J23" cm="1">
        <f t="array" ref="J23">_xll.qlIndexFixing($B$5,H23,,$B$8)</f>
        <v>4.8000000000000015E-2</v>
      </c>
    </row>
    <row r="24" spans="1:10" x14ac:dyDescent="0.25">
      <c r="A24" t="s">
        <v>124</v>
      </c>
      <c r="B24" s="1" cm="1">
        <f t="array" ref="B24">_xll.qlInterestRateIndexMaturityDate(B5,B23)</f>
        <v>45812</v>
      </c>
      <c r="H24" s="1">
        <v>45657</v>
      </c>
      <c r="I24">
        <f t="shared" si="0"/>
        <v>4.9000000000000016E-2</v>
      </c>
      <c r="J24" cm="1">
        <f t="array" ref="J24">_xll.qlIndexFixing($B$5,H24,,$B$8)</f>
        <v>4.9000000000000016E-2</v>
      </c>
    </row>
    <row r="26" spans="1:10" x14ac:dyDescent="0.25">
      <c r="A26" t="s">
        <v>126</v>
      </c>
      <c r="B26" t="str" cm="1">
        <f t="array" ref="B26:B27">_xll.qlIndexManagerHistories()</f>
        <v>MyIndex1D Actual/360</v>
      </c>
    </row>
    <row r="27" spans="1:10" x14ac:dyDescent="0.25">
      <c r="B27" t="str">
        <v>MyIndex3M Actual/360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C07C-4A75-4B6E-99B0-AF3C7FCD9BC6}">
  <dimension ref="A1:C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9" sqref="C9"/>
    </sheetView>
  </sheetViews>
  <sheetFormatPr baseColWidth="10" defaultColWidth="9.140625" defaultRowHeight="15" x14ac:dyDescent="0.25"/>
  <cols>
    <col min="1" max="1" width="31.140625" bestFit="1" customWidth="1"/>
    <col min="2" max="2" width="59.140625" style="2" bestFit="1" customWidth="1"/>
    <col min="3" max="3" width="59.140625" bestFit="1" customWidth="1"/>
  </cols>
  <sheetData>
    <row r="1" spans="1:2" x14ac:dyDescent="0.25">
      <c r="A1" t="s">
        <v>15</v>
      </c>
      <c r="B1" s="3">
        <v>45658</v>
      </c>
    </row>
    <row r="2" spans="1:2" x14ac:dyDescent="0.25">
      <c r="A2" t="s">
        <v>18</v>
      </c>
      <c r="B2" s="3" cm="1">
        <f t="array" ref="B2">_xll.qlSettingsSetEvaluationDate(B1)</f>
        <v>45658</v>
      </c>
    </row>
    <row r="3" spans="1:2" x14ac:dyDescent="0.25">
      <c r="B3" s="3"/>
    </row>
    <row r="4" spans="1:2" x14ac:dyDescent="0.25">
      <c r="A4" s="7" t="s">
        <v>0</v>
      </c>
      <c r="B4" s="8" t="s">
        <v>9</v>
      </c>
    </row>
    <row r="5" spans="1:2" x14ac:dyDescent="0.25">
      <c r="A5" s="9" t="s">
        <v>1</v>
      </c>
      <c r="B5" s="10" t="s">
        <v>10</v>
      </c>
    </row>
    <row r="6" spans="1:2" x14ac:dyDescent="0.25">
      <c r="A6" s="9" t="s">
        <v>2</v>
      </c>
      <c r="B6" s="10">
        <v>3</v>
      </c>
    </row>
    <row r="7" spans="1:2" x14ac:dyDescent="0.25">
      <c r="A7" s="9" t="s">
        <v>3</v>
      </c>
      <c r="B7" s="10" t="s">
        <v>11</v>
      </c>
    </row>
    <row r="8" spans="1:2" x14ac:dyDescent="0.25">
      <c r="A8" s="9" t="s">
        <v>4</v>
      </c>
      <c r="B8" s="10" t="s">
        <v>12</v>
      </c>
    </row>
    <row r="9" spans="1:2" x14ac:dyDescent="0.25">
      <c r="A9" s="9" t="s">
        <v>5</v>
      </c>
      <c r="B9" s="10" t="s">
        <v>13</v>
      </c>
    </row>
    <row r="10" spans="1:2" x14ac:dyDescent="0.25">
      <c r="A10" s="9" t="s">
        <v>6</v>
      </c>
      <c r="B10" s="10" t="b">
        <v>0</v>
      </c>
    </row>
    <row r="11" spans="1:2" x14ac:dyDescent="0.25">
      <c r="A11" s="9" t="s">
        <v>7</v>
      </c>
      <c r="B11" s="10" t="s">
        <v>14</v>
      </c>
    </row>
    <row r="12" spans="1:2" x14ac:dyDescent="0.25">
      <c r="A12" s="9" t="s">
        <v>8</v>
      </c>
      <c r="B12" s="10" t="str" cm="1">
        <f t="array" ref="B12">_xll.qlFlatForward(B2,0.03,"Actual365Fixed","Continuous")</f>
        <v>欣[test_indexes.xlsx]IborIndex!R12C2YieldTermStructureHandle,A</v>
      </c>
    </row>
    <row r="13" spans="1:2" x14ac:dyDescent="0.25">
      <c r="A13" s="11" t="s">
        <v>16</v>
      </c>
      <c r="B13" s="12" t="str" cm="1">
        <f t="array" ref="B13">_xll.qlIborIndex(B4,B5,B6,B7,B8,B9,B10,B11)</f>
        <v>欣[test_indexes.xlsx]IborIndex!R13C2IborIndex,A</v>
      </c>
    </row>
    <row r="14" spans="1:2" x14ac:dyDescent="0.25">
      <c r="A14" s="19" t="s">
        <v>17</v>
      </c>
      <c r="B14" s="10" t="str" cm="1">
        <f t="array" ref="B14">_xll.qlIborIndex(B4,B5,B6,B7,B8,B9,B10,B11,B12)</f>
        <v>欣[test_indexes.xlsx]IborIndex!R14C2IborIndex,A</v>
      </c>
    </row>
    <row r="15" spans="1:2" x14ac:dyDescent="0.25">
      <c r="A15" s="13" t="s">
        <v>107</v>
      </c>
      <c r="B15" s="14" t="str" cm="1">
        <f t="array" ref="B15">_xll.qlIndexName(B13)</f>
        <v>MyIndex3M Actual/360</v>
      </c>
    </row>
    <row r="16" spans="1:2" x14ac:dyDescent="0.25">
      <c r="A16" s="19" t="s">
        <v>108</v>
      </c>
      <c r="B16" s="10" t="str" cm="1">
        <f t="array" ref="B16">_xll.qlIndexFixingCalendar(B13)</f>
        <v>TARGET</v>
      </c>
    </row>
    <row r="17" spans="1:3" x14ac:dyDescent="0.25">
      <c r="A17" s="13" t="s">
        <v>109</v>
      </c>
      <c r="B17" s="14" t="b" cm="1">
        <f t="array" ref="B17">_xll.qlIndexIsValidFixingDate(B13,B1)</f>
        <v>0</v>
      </c>
    </row>
    <row r="18" spans="1:3" x14ac:dyDescent="0.25">
      <c r="A18" s="19" t="s">
        <v>110</v>
      </c>
      <c r="B18" s="10" t="b" cm="1">
        <f t="array" ref="B18">_xll.qlIndexHasHistoricalFixing(B13,B1)</f>
        <v>0</v>
      </c>
    </row>
    <row r="19" spans="1:3" x14ac:dyDescent="0.25">
      <c r="A19" s="13" t="s">
        <v>111</v>
      </c>
      <c r="B19" s="14"/>
    </row>
    <row r="20" spans="1:3" x14ac:dyDescent="0.25">
      <c r="A20" s="19" t="s">
        <v>117</v>
      </c>
      <c r="B20" s="10" t="str" cm="1">
        <f t="array" ref="B20">_xll.qlIndexTimeSeries(B13)</f>
        <v>欣[test_indexes.xlsx]IborIndex!R20C2RealTimeSeries,A</v>
      </c>
    </row>
    <row r="21" spans="1:3" x14ac:dyDescent="0.25">
      <c r="A21" s="13" t="s">
        <v>118</v>
      </c>
      <c r="B21" s="14" t="str" cm="1">
        <f t="array" ref="B21">_xll.qlInterestRateIndexFamilyName(B13)</f>
        <v>MyIndex</v>
      </c>
    </row>
    <row r="22" spans="1:3" x14ac:dyDescent="0.25">
      <c r="A22" s="19" t="s">
        <v>119</v>
      </c>
      <c r="B22" s="10" t="str" cm="1">
        <f t="array" ref="B22">_xll.qlInterestRateIndexTenor(B13)</f>
        <v>3M</v>
      </c>
    </row>
    <row r="23" spans="1:3" x14ac:dyDescent="0.25">
      <c r="A23" s="13" t="s">
        <v>120</v>
      </c>
      <c r="B23" s="14" cm="1">
        <f t="array" ref="B23">_xll.qlInterestRateIndexFixingDays(B13)</f>
        <v>3</v>
      </c>
    </row>
    <row r="24" spans="1:3" x14ac:dyDescent="0.25">
      <c r="A24" s="19" t="s">
        <v>121</v>
      </c>
      <c r="B24" s="10" t="str" cm="1">
        <f t="array" ref="B24">_xll.qlInterestRateIndexCurrency(B13)</f>
        <v>欣[test_indexes.xlsx]IborIndex!R24C2Currency,A</v>
      </c>
    </row>
    <row r="25" spans="1:3" x14ac:dyDescent="0.25">
      <c r="A25" s="13" t="s">
        <v>122</v>
      </c>
      <c r="B25" s="14" t="str" cm="1">
        <f t="array" ref="B25">_xll.qlInterestRateIndexDayCounter(B13)</f>
        <v>Actual/360</v>
      </c>
    </row>
    <row r="26" spans="1:3" x14ac:dyDescent="0.25">
      <c r="A26" s="19" t="s">
        <v>125</v>
      </c>
      <c r="B26" s="23" cm="1">
        <f t="array" ref="B26">_xll.qlInterestRateIndexFixingDate(B13,B1)</f>
        <v>45653</v>
      </c>
    </row>
    <row r="27" spans="1:3" x14ac:dyDescent="0.25">
      <c r="A27" s="13" t="s">
        <v>123</v>
      </c>
      <c r="B27" s="15" cm="1">
        <f t="array" ref="B27">_xll.qlInterestRateIndexValueDate(B13,B26)</f>
        <v>45659</v>
      </c>
    </row>
    <row r="28" spans="1:3" x14ac:dyDescent="0.25">
      <c r="A28" s="19" t="s">
        <v>124</v>
      </c>
      <c r="B28" s="23" cm="1">
        <f t="array" ref="B28">_xll.qlInterestRateIndexMaturityDate(B13,B27)</f>
        <v>45749</v>
      </c>
    </row>
    <row r="29" spans="1:3" x14ac:dyDescent="0.25">
      <c r="A29" s="38" t="s">
        <v>1</v>
      </c>
      <c r="B29" s="33" t="str">
        <f>B5</f>
        <v>3m</v>
      </c>
      <c r="C29" s="18" t="str">
        <f>B5</f>
        <v>3m</v>
      </c>
    </row>
    <row r="30" spans="1:3" x14ac:dyDescent="0.25">
      <c r="A30" s="43" t="s">
        <v>147</v>
      </c>
      <c r="B30" s="34"/>
      <c r="C30" s="22" t="str">
        <f>B12</f>
        <v>欣[test_indexes.xlsx]IborIndex!R12C2YieldTermStructureHandle,A</v>
      </c>
    </row>
    <row r="31" spans="1:3" x14ac:dyDescent="0.25">
      <c r="A31" s="16" t="s">
        <v>19</v>
      </c>
      <c r="B31" s="17" t="str" cm="1">
        <f t="array" ref="B31">_xll.qlCdor(B29)</f>
        <v>欣[test_indexes.xlsx]IborIndex!R31C2Cdor,A</v>
      </c>
      <c r="C31" s="18" t="str" cm="1">
        <f t="array" ref="C31">_xll.qlCdor(C29,C30)</f>
        <v>欣[test_indexes.xlsx]IborIndex!R31C3Cdor,A</v>
      </c>
    </row>
    <row r="32" spans="1:3" x14ac:dyDescent="0.25">
      <c r="A32" s="19" t="s">
        <v>20</v>
      </c>
      <c r="B32" s="4" t="str" cm="1">
        <f t="array" ref="B32">_xll.qlBbsw(B29)</f>
        <v>欣[test_indexes.xlsx]IborIndex!R32C2Bbsw,A</v>
      </c>
      <c r="C32" s="20" t="str" cm="1">
        <f t="array" ref="C32">_xll.qlBbsw(C29,C30)</f>
        <v>欣[test_indexes.xlsx]IborIndex!R32C3Bbsw,A</v>
      </c>
    </row>
    <row r="33" spans="1:3" x14ac:dyDescent="0.25">
      <c r="A33" s="19" t="s">
        <v>21</v>
      </c>
      <c r="B33" s="4" t="str" cm="1">
        <f t="array" ref="B33">_xll.qlBkbm(B29)</f>
        <v>欣[test_indexes.xlsx]IborIndex!R33C2Bkbm,A</v>
      </c>
      <c r="C33" s="20" t="str" cm="1">
        <f t="array" ref="C33">_xll.qlBkbm(C29,C30)</f>
        <v>欣[test_indexes.xlsx]IborIndex!R33C3Bkbm,A</v>
      </c>
    </row>
    <row r="34" spans="1:3" x14ac:dyDescent="0.25">
      <c r="A34" s="19" t="s">
        <v>22</v>
      </c>
      <c r="B34" s="4" t="str" cm="1">
        <f t="array" ref="B34">_xll.qlEuribor(B29)</f>
        <v>欣[test_indexes.xlsx]IborIndex!R34C2Euribor,A</v>
      </c>
      <c r="C34" s="20" t="str" cm="1">
        <f t="array" ref="C34">_xll.qlEuribor(C29,C30)</f>
        <v>欣[test_indexes.xlsx]IborIndex!R34C3Euribor,A</v>
      </c>
    </row>
    <row r="35" spans="1:3" x14ac:dyDescent="0.25">
      <c r="A35" s="19" t="s">
        <v>23</v>
      </c>
      <c r="B35" s="4" t="str" cm="1">
        <f t="array" ref="B35">_xll.qlEuribor365(B29)</f>
        <v>欣[test_indexes.xlsx]IborIndex!R35C2Euribor365,A</v>
      </c>
      <c r="C35" s="20" t="str" cm="1">
        <f t="array" ref="C35">_xll.qlEuribor365(C29,C30)</f>
        <v>欣[test_indexes.xlsx]IborIndex!R35C3Euribor365,A</v>
      </c>
    </row>
    <row r="36" spans="1:3" x14ac:dyDescent="0.25">
      <c r="A36" s="19" t="s">
        <v>24</v>
      </c>
      <c r="B36" s="4" t="str" cm="1">
        <f t="array" ref="B36">_xll.qlJibar(B29)</f>
        <v>欣[test_indexes.xlsx]IborIndex!R36C2Jibar,A</v>
      </c>
      <c r="C36" s="20" t="str" cm="1">
        <f t="array" ref="C36">_xll.qlJibar(C29,C30)</f>
        <v>欣[test_indexes.xlsx]IborIndex!R36C3Jibar,A</v>
      </c>
    </row>
    <row r="37" spans="1:3" x14ac:dyDescent="0.25">
      <c r="A37" s="19" t="s">
        <v>25</v>
      </c>
      <c r="B37" s="4" t="str" cm="1">
        <f t="array" ref="B37">_xll.qlMosprime(B29)</f>
        <v>欣[test_indexes.xlsx]IborIndex!R37C2Mosprime,A</v>
      </c>
      <c r="C37" s="20" t="str" cm="1">
        <f t="array" ref="C37">_xll.qlMosprime(C29,C30)</f>
        <v>欣[test_indexes.xlsx]IborIndex!R37C3Mosprime,A</v>
      </c>
    </row>
    <row r="38" spans="1:3" x14ac:dyDescent="0.25">
      <c r="A38" s="19" t="s">
        <v>140</v>
      </c>
      <c r="B38" s="4" t="str" cm="1">
        <f t="array" ref="B38">_xll.qlNibor(B29)</f>
        <v>欣[test_indexes.xlsx]IborIndex!R38C2Nibor,A</v>
      </c>
      <c r="C38" s="20" t="str" cm="1">
        <f t="array" ref="C38">_xll.qlNibor(C29,C30)</f>
        <v>欣[test_indexes.xlsx]IborIndex!R38C3Nibor,A</v>
      </c>
    </row>
    <row r="39" spans="1:3" x14ac:dyDescent="0.25">
      <c r="A39" s="19" t="s">
        <v>26</v>
      </c>
      <c r="B39" s="4" t="str" cm="1">
        <f t="array" ref="B39">_xll.qlNZDLibor(B29)</f>
        <v>欣[test_indexes.xlsx]IborIndex!R39C2NZDLibor,A</v>
      </c>
      <c r="C39" s="20" t="str" cm="1">
        <f t="array" ref="C39">_xll.qlNZDLibor(C29,C30)</f>
        <v>欣[test_indexes.xlsx]IborIndex!R39C3NZDLibor,A</v>
      </c>
    </row>
    <row r="40" spans="1:3" x14ac:dyDescent="0.25">
      <c r="A40" s="19" t="s">
        <v>27</v>
      </c>
      <c r="B40" s="4" t="str" cm="1">
        <f t="array" ref="B40">_xll.qlPribor(B29)</f>
        <v>欣[test_indexes.xlsx]IborIndex!R40C2Pribor,A</v>
      </c>
      <c r="C40" s="20" t="str" cm="1">
        <f t="array" ref="C40">_xll.qlPribor(C29,C30)</f>
        <v>欣[test_indexes.xlsx]IborIndex!R40C3Pribor,A</v>
      </c>
    </row>
    <row r="41" spans="1:3" x14ac:dyDescent="0.25">
      <c r="A41" s="19" t="s">
        <v>28</v>
      </c>
      <c r="B41" s="4" t="str" cm="1">
        <f t="array" ref="B41">_xll.qlRobor(B29)</f>
        <v>欣[test_indexes.xlsx]IborIndex!R41C2Robor,A</v>
      </c>
      <c r="C41" s="20" t="str" cm="1">
        <f t="array" ref="C41">_xll.qlRobor(C29,C30)</f>
        <v>欣[test_indexes.xlsx]IborIndex!R41C3Robor,A</v>
      </c>
    </row>
    <row r="42" spans="1:3" x14ac:dyDescent="0.25">
      <c r="A42" s="19" t="s">
        <v>29</v>
      </c>
      <c r="B42" s="4" t="str" cm="1">
        <f t="array" ref="B42">_xll.qlShibor(B29)</f>
        <v>欣[test_indexes.xlsx]IborIndex!R42C2Shibor,A</v>
      </c>
      <c r="C42" s="20" t="str" cm="1">
        <f t="array" ref="C42">_xll.qlShibor(C29,C30)</f>
        <v>欣[test_indexes.xlsx]IborIndex!R42C3Shibor,A</v>
      </c>
    </row>
    <row r="43" spans="1:3" x14ac:dyDescent="0.25">
      <c r="A43" s="19" t="s">
        <v>30</v>
      </c>
      <c r="B43" s="4" t="str" cm="1">
        <f t="array" ref="B43">_xll.qlTibor(B29)</f>
        <v>欣[test_indexes.xlsx]IborIndex!R43C2Tibor,A</v>
      </c>
      <c r="C43" s="20" t="str" cm="1">
        <f t="array" ref="C43">_xll.qlTibor(C29,C30)</f>
        <v>欣[test_indexes.xlsx]IborIndex!R43C3Tibor,A</v>
      </c>
    </row>
    <row r="44" spans="1:3" x14ac:dyDescent="0.25">
      <c r="A44" s="19" t="s">
        <v>31</v>
      </c>
      <c r="B44" s="4" t="str" cm="1">
        <f t="array" ref="B44">_xll.qlTHBFIX(B29)</f>
        <v>欣[test_indexes.xlsx]IborIndex!R44C2THBFIX,A</v>
      </c>
      <c r="C44" s="20" t="str" cm="1">
        <f t="array" ref="C44">_xll.qlTHBFIX(C29,C30)</f>
        <v>欣[test_indexes.xlsx]IborIndex!R44C3THBFIX,A</v>
      </c>
    </row>
    <row r="45" spans="1:3" x14ac:dyDescent="0.25">
      <c r="A45" s="19" t="s">
        <v>32</v>
      </c>
      <c r="B45" s="4" t="str" cm="1">
        <f t="array" ref="B45">_xll.qlWibor(B29)</f>
        <v>欣[test_indexes.xlsx]IborIndex!R45C2Wibor,A</v>
      </c>
      <c r="C45" s="20" t="str" cm="1">
        <f t="array" ref="C45">_xll.qlWibor(C29,C30)</f>
        <v>欣[test_indexes.xlsx]IborIndex!R45C3Wibor,A</v>
      </c>
    </row>
    <row r="46" spans="1:3" x14ac:dyDescent="0.25">
      <c r="A46" s="19" t="s">
        <v>33</v>
      </c>
      <c r="B46" s="4" t="str" cm="1">
        <f t="array" ref="B46">_xll.qlZibor(B29)</f>
        <v>欣[test_indexes.xlsx]IborIndex!R46C2Zibor,A</v>
      </c>
      <c r="C46" s="20" t="str" cm="1">
        <f t="array" ref="C46">_xll.qlZibor(C29,C30)</f>
        <v>欣[test_indexes.xlsx]IborIndex!R46C3Zibor,A</v>
      </c>
    </row>
    <row r="47" spans="1:3" x14ac:dyDescent="0.25">
      <c r="A47" s="19" t="s">
        <v>34</v>
      </c>
      <c r="B47" s="4" t="str" cm="1">
        <f t="array" ref="B47">_xll.qlAUDLibor(B29)</f>
        <v>欣[test_indexes.xlsx]IborIndex!R47C2AUDLibor,A</v>
      </c>
      <c r="C47" s="20" t="str" cm="1">
        <f t="array" ref="C47">_xll.qlAUDLibor(C29,C30)</f>
        <v>欣[test_indexes.xlsx]IborIndex!R47C3AUDLibor,A</v>
      </c>
    </row>
    <row r="48" spans="1:3" x14ac:dyDescent="0.25">
      <c r="A48" s="19" t="s">
        <v>35</v>
      </c>
      <c r="B48" s="4" t="str" cm="1">
        <f t="array" ref="B48">_xll.qlCADLibor(B29)</f>
        <v>欣[test_indexes.xlsx]IborIndex!R48C2CADLibor,A</v>
      </c>
      <c r="C48" s="20" t="str" cm="1">
        <f t="array" ref="C48">_xll.qlCADLibor(C29,C30)</f>
        <v>欣[test_indexes.xlsx]IborIndex!R48C3CADLibor,A</v>
      </c>
    </row>
    <row r="49" spans="1:3" x14ac:dyDescent="0.25">
      <c r="A49" s="19" t="s">
        <v>36</v>
      </c>
      <c r="B49" s="4" t="str" cm="1">
        <f t="array" ref="B49">_xll.qlCHFLibor(B29)</f>
        <v>欣[test_indexes.xlsx]IborIndex!R49C2CHFLibor,A</v>
      </c>
      <c r="C49" s="20" t="str" cm="1">
        <f t="array" ref="C49">_xll.qlCHFLibor(C29,C30)</f>
        <v>欣[test_indexes.xlsx]IborIndex!R49C3CHFLibor,A</v>
      </c>
    </row>
    <row r="50" spans="1:3" x14ac:dyDescent="0.25">
      <c r="A50" s="19" t="s">
        <v>37</v>
      </c>
      <c r="B50" s="4" t="str" cm="1">
        <f t="array" ref="B50">_xll.qlDKKLibor(B29)</f>
        <v>欣[test_indexes.xlsx]IborIndex!R50C2DKKLibor,A</v>
      </c>
      <c r="C50" s="20" t="str" cm="1">
        <f t="array" ref="C50">_xll.qlDKKLibor(C29,C30)</f>
        <v>欣[test_indexes.xlsx]IborIndex!R50C3DKKLibor,A</v>
      </c>
    </row>
    <row r="51" spans="1:3" x14ac:dyDescent="0.25">
      <c r="A51" s="19" t="s">
        <v>38</v>
      </c>
      <c r="B51" s="4" t="str" cm="1">
        <f t="array" ref="B51">_xll.qlEURLibor(B29)</f>
        <v>欣[test_indexes.xlsx]IborIndex!R51C2EURLibor,A</v>
      </c>
      <c r="C51" s="20" t="str" cm="1">
        <f t="array" ref="C51">_xll.qlEURLibor(C29,C30)</f>
        <v>欣[test_indexes.xlsx]IborIndex!R51C3EURLibor,A</v>
      </c>
    </row>
    <row r="52" spans="1:3" x14ac:dyDescent="0.25">
      <c r="A52" s="19" t="s">
        <v>39</v>
      </c>
      <c r="B52" s="4" t="str" cm="1">
        <f t="array" ref="B52">_xll.qlGBPLibor(B29)</f>
        <v>欣[test_indexes.xlsx]IborIndex!R52C2GBPLibor,A</v>
      </c>
      <c r="C52" s="20" t="str" cm="1">
        <f t="array" ref="C52">_xll.qlGBPLibor(C29,C30)</f>
        <v>欣[test_indexes.xlsx]IborIndex!R52C3GBPLibor,A</v>
      </c>
    </row>
    <row r="53" spans="1:3" x14ac:dyDescent="0.25">
      <c r="A53" s="19" t="s">
        <v>40</v>
      </c>
      <c r="B53" s="4" t="str" cm="1">
        <f t="array" ref="B53">_xll.qlJPYLibor(B29)</f>
        <v>欣[test_indexes.xlsx]IborIndex!R53C2JPYLibor,A</v>
      </c>
      <c r="C53" s="20" t="str" cm="1">
        <f t="array" ref="C53">_xll.qlJPYLibor(C29,C30)</f>
        <v>欣[test_indexes.xlsx]IborIndex!R53C3JPYLibor,A</v>
      </c>
    </row>
    <row r="54" spans="1:3" x14ac:dyDescent="0.25">
      <c r="A54" s="19" t="s">
        <v>41</v>
      </c>
      <c r="B54" s="4" t="str" cm="1">
        <f t="array" ref="B54">_xll.qlSEKLibor(B29)</f>
        <v>欣[test_indexes.xlsx]IborIndex!R54C2SEKLibor,A</v>
      </c>
      <c r="C54" s="20" t="str" cm="1">
        <f t="array" ref="C54">_xll.qlSEKLibor(C29,C30)</f>
        <v>欣[test_indexes.xlsx]IborIndex!R54C3SEKLibor,A</v>
      </c>
    </row>
    <row r="55" spans="1:3" x14ac:dyDescent="0.25">
      <c r="A55" s="19" t="s">
        <v>42</v>
      </c>
      <c r="B55" s="4" t="str" cm="1">
        <f t="array" ref="B55">_xll.qlTRLibor(B29)</f>
        <v>欣[test_indexes.xlsx]IborIndex!R55C2TRLibor,A</v>
      </c>
      <c r="C55" s="20" t="str" cm="1">
        <f t="array" ref="C55">_xll.qlTRLibor(C29,C30)</f>
        <v>欣[test_indexes.xlsx]IborIndex!R55C3TRLibor,A</v>
      </c>
    </row>
    <row r="56" spans="1:3" x14ac:dyDescent="0.25">
      <c r="A56" s="11" t="s">
        <v>43</v>
      </c>
      <c r="B56" s="21" t="str" cm="1">
        <f t="array" ref="B56">_xll.qlUSDLibor(B29)</f>
        <v>欣[test_indexes.xlsx]IborIndex!R56C2USDLibor,A</v>
      </c>
      <c r="C56" s="22" t="str" cm="1">
        <f t="array" ref="C56">_xll.qlUSDLibor(C29,C30)</f>
        <v>欣[test_indexes.xlsx]IborIndex!R56C3USDLibor,A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57F7-0C13-4F64-8278-62105CC7933F}">
  <dimension ref="A1:C4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8" sqref="B18"/>
    </sheetView>
  </sheetViews>
  <sheetFormatPr baseColWidth="10" defaultColWidth="9.140625" defaultRowHeight="15" x14ac:dyDescent="0.25"/>
  <cols>
    <col min="1" max="1" width="31.140625" bestFit="1" customWidth="1"/>
    <col min="2" max="2" width="64.140625" style="2" bestFit="1" customWidth="1"/>
    <col min="3" max="3" width="64.140625" bestFit="1" customWidth="1"/>
  </cols>
  <sheetData>
    <row r="1" spans="1:2" x14ac:dyDescent="0.25">
      <c r="A1" t="s">
        <v>15</v>
      </c>
      <c r="B1" s="3">
        <v>45658</v>
      </c>
    </row>
    <row r="2" spans="1:2" x14ac:dyDescent="0.25">
      <c r="A2" t="s">
        <v>18</v>
      </c>
      <c r="B2" s="3" cm="1">
        <f t="array" ref="B2">_xll.qlSettingsSetEvaluationDate(B1)</f>
        <v>45658</v>
      </c>
    </row>
    <row r="3" spans="1:2" x14ac:dyDescent="0.25">
      <c r="B3" s="3"/>
    </row>
    <row r="4" spans="1:2" x14ac:dyDescent="0.25">
      <c r="A4" s="7" t="s">
        <v>0</v>
      </c>
      <c r="B4" s="8" t="s">
        <v>9</v>
      </c>
    </row>
    <row r="5" spans="1:2" x14ac:dyDescent="0.25">
      <c r="A5" s="9" t="s">
        <v>1</v>
      </c>
      <c r="B5" s="10" t="s">
        <v>10</v>
      </c>
    </row>
    <row r="6" spans="1:2" x14ac:dyDescent="0.25">
      <c r="A6" s="9" t="s">
        <v>2</v>
      </c>
      <c r="B6" s="10">
        <v>3</v>
      </c>
    </row>
    <row r="7" spans="1:2" x14ac:dyDescent="0.25">
      <c r="A7" s="9" t="s">
        <v>3</v>
      </c>
      <c r="B7" s="10" t="s">
        <v>11</v>
      </c>
    </row>
    <row r="8" spans="1:2" x14ac:dyDescent="0.25">
      <c r="A8" s="9" t="s">
        <v>4</v>
      </c>
      <c r="B8" s="10" t="s">
        <v>12</v>
      </c>
    </row>
    <row r="9" spans="1:2" x14ac:dyDescent="0.25">
      <c r="A9" s="9" t="s">
        <v>5</v>
      </c>
      <c r="B9" s="10" t="s">
        <v>13</v>
      </c>
    </row>
    <row r="10" spans="1:2" x14ac:dyDescent="0.25">
      <c r="A10" s="9" t="s">
        <v>6</v>
      </c>
      <c r="B10" s="10" t="b">
        <v>0</v>
      </c>
    </row>
    <row r="11" spans="1:2" x14ac:dyDescent="0.25">
      <c r="A11" s="9" t="s">
        <v>7</v>
      </c>
      <c r="B11" s="10" t="s">
        <v>14</v>
      </c>
    </row>
    <row r="12" spans="1:2" x14ac:dyDescent="0.25">
      <c r="A12" s="9" t="s">
        <v>8</v>
      </c>
      <c r="B12" s="10" t="str" cm="1">
        <f t="array" ref="B12">_xll.qlFlatForward(B2,0.03,"Actual365Fixed","Continuous")</f>
        <v>欣[test_indexes.xlsx]OvernightIndex!R12C2YieldTermStructureHandle,A</v>
      </c>
    </row>
    <row r="13" spans="1:2" x14ac:dyDescent="0.25">
      <c r="A13" s="11" t="s">
        <v>44</v>
      </c>
      <c r="B13" s="12" t="str" cm="1">
        <f t="array" ref="B13">_xll.qlOvernightIndex(B4,B6,B7,B8,B11)</f>
        <v>欣[test_indexes.xlsx]OvernightIndex!R13C2OvernightIndex,A</v>
      </c>
    </row>
    <row r="14" spans="1:2" x14ac:dyDescent="0.25">
      <c r="A14" s="19" t="s">
        <v>45</v>
      </c>
      <c r="B14" s="10" t="str" cm="1">
        <f t="array" ref="B14">_xll.qlOvernightIndex(B4,B6,B7,B8,B11,B12)</f>
        <v>欣[test_indexes.xlsx]OvernightIndex!R14C2OvernightIndex,A</v>
      </c>
    </row>
    <row r="15" spans="1:2" x14ac:dyDescent="0.25">
      <c r="A15" s="13" t="s">
        <v>107</v>
      </c>
      <c r="B15" s="14" t="str" cm="1">
        <f t="array" ref="B15">_xll.qlIndexName(B13)</f>
        <v>MyIndex1D Actual/360</v>
      </c>
    </row>
    <row r="16" spans="1:2" x14ac:dyDescent="0.25">
      <c r="A16" s="19" t="s">
        <v>108</v>
      </c>
      <c r="B16" s="10" t="str" cm="1">
        <f t="array" ref="B16">_xll.qlIndexFixingCalendar(B13)</f>
        <v>TARGET</v>
      </c>
    </row>
    <row r="17" spans="1:3" x14ac:dyDescent="0.25">
      <c r="A17" s="13" t="s">
        <v>109</v>
      </c>
      <c r="B17" s="14" t="b" cm="1">
        <f t="array" ref="B17">_xll.qlIndexIsValidFixingDate(B13,B1)</f>
        <v>0</v>
      </c>
    </row>
    <row r="18" spans="1:3" x14ac:dyDescent="0.25">
      <c r="A18" s="19" t="s">
        <v>110</v>
      </c>
      <c r="B18" s="10" t="b" cm="1">
        <f t="array" ref="B18">_xll.qlIndexHasHistoricalFixing(B13,B1)</f>
        <v>0</v>
      </c>
    </row>
    <row r="19" spans="1:3" x14ac:dyDescent="0.25">
      <c r="A19" s="13" t="s">
        <v>111</v>
      </c>
      <c r="B19" s="14"/>
    </row>
    <row r="20" spans="1:3" x14ac:dyDescent="0.25">
      <c r="A20" s="19" t="s">
        <v>117</v>
      </c>
      <c r="B20" s="10" t="str" cm="1">
        <f t="array" ref="B20">_xll.qlIndexTimeSeries(B13)</f>
        <v>欣[test_indexes.xlsx]OvernightIndex!R20C2RealTimeSeries,A</v>
      </c>
    </row>
    <row r="21" spans="1:3" x14ac:dyDescent="0.25">
      <c r="A21" s="13" t="s">
        <v>118</v>
      </c>
      <c r="B21" s="14" t="str" cm="1">
        <f t="array" ref="B21">_xll.qlInterestRateIndexFamilyName(B13)</f>
        <v>MyIndex</v>
      </c>
    </row>
    <row r="22" spans="1:3" x14ac:dyDescent="0.25">
      <c r="A22" s="19" t="s">
        <v>119</v>
      </c>
      <c r="B22" s="10" t="str" cm="1">
        <f t="array" ref="B22">_xll.qlInterestRateIndexTenor(B13)</f>
        <v>1D</v>
      </c>
    </row>
    <row r="23" spans="1:3" x14ac:dyDescent="0.25">
      <c r="A23" s="13" t="s">
        <v>120</v>
      </c>
      <c r="B23" s="14" cm="1">
        <f t="array" ref="B23">_xll.qlInterestRateIndexFixingDays(B13)</f>
        <v>3</v>
      </c>
    </row>
    <row r="24" spans="1:3" x14ac:dyDescent="0.25">
      <c r="A24" s="19" t="s">
        <v>121</v>
      </c>
      <c r="B24" s="10" t="str" cm="1">
        <f t="array" ref="B24">_xll.qlInterestRateIndexCurrency(B13)</f>
        <v>欣[test_indexes.xlsx]OvernightIndex!R24C2Currency,A</v>
      </c>
    </row>
    <row r="25" spans="1:3" x14ac:dyDescent="0.25">
      <c r="A25" s="13" t="s">
        <v>122</v>
      </c>
      <c r="B25" s="14" t="str" cm="1">
        <f t="array" ref="B25">_xll.qlInterestRateIndexDayCounter(B13)</f>
        <v>Actual/360</v>
      </c>
    </row>
    <row r="26" spans="1:3" x14ac:dyDescent="0.25">
      <c r="A26" s="19" t="s">
        <v>125</v>
      </c>
      <c r="B26" s="23" cm="1">
        <f t="array" ref="B26">_xll.qlInterestRateIndexFixingDate(B13,B1)</f>
        <v>45653</v>
      </c>
    </row>
    <row r="27" spans="1:3" x14ac:dyDescent="0.25">
      <c r="A27" s="13" t="s">
        <v>123</v>
      </c>
      <c r="B27" s="15" cm="1">
        <f t="array" ref="B27">_xll.qlInterestRateIndexValueDate(B13,B26)</f>
        <v>45659</v>
      </c>
    </row>
    <row r="28" spans="1:3" x14ac:dyDescent="0.25">
      <c r="A28" s="19" t="s">
        <v>124</v>
      </c>
      <c r="B28" s="23" cm="1">
        <f t="array" ref="B28">_xll.qlInterestRateIndexMaturityDate(B13,B27)</f>
        <v>45660</v>
      </c>
    </row>
    <row r="29" spans="1:3" x14ac:dyDescent="0.25">
      <c r="A29" s="44" t="s">
        <v>147</v>
      </c>
      <c r="B29" s="36"/>
      <c r="C29" s="42" t="str" cm="1">
        <f t="array" ref="C29">_xll.qlFlatForward(B2,0.03,"Actual365Fixed","Continuous")</f>
        <v>欣[test_indexes.xlsx]OvernightIndex!R29C3YieldTermStructureHandle,A</v>
      </c>
    </row>
    <row r="30" spans="1:3" x14ac:dyDescent="0.25">
      <c r="A30" s="16" t="s">
        <v>46</v>
      </c>
      <c r="B30" s="17" t="str" cm="1">
        <f t="array" ref="B30">_xll.qlAonia()</f>
        <v>欣[test_indexes.xlsx]OvernightIndex!R30C2Aonia,A</v>
      </c>
      <c r="C30" s="18" t="str" cm="1">
        <f t="array" ref="C30">_xll.qlAonia(C29)</f>
        <v>欣[test_indexes.xlsx]OvernightIndex!R30C3Aonia,A</v>
      </c>
    </row>
    <row r="31" spans="1:3" x14ac:dyDescent="0.25">
      <c r="A31" s="13" t="s">
        <v>47</v>
      </c>
      <c r="B31" s="35" t="str" cm="1">
        <f t="array" ref="B31">_xll.qlCdi()</f>
        <v>欣[test_indexes.xlsx]OvernightIndex!R31C2Cdi,A</v>
      </c>
      <c r="C31" s="42" t="str" cm="1">
        <f t="array" ref="C31">_xll.qlCdi(C29)</f>
        <v>欣[test_indexes.xlsx]OvernightIndex!R31C3Cdi,A</v>
      </c>
    </row>
    <row r="32" spans="1:3" x14ac:dyDescent="0.25">
      <c r="A32" s="19" t="s">
        <v>48</v>
      </c>
      <c r="B32" s="4" t="str" cm="1">
        <f t="array" ref="B32">_xll.qlCorra()</f>
        <v>欣[test_indexes.xlsx]OvernightIndex!R32C2Corra,A</v>
      </c>
      <c r="C32" s="20" t="str" cm="1">
        <f t="array" ref="C32">_xll.qlCorra(C29)</f>
        <v>欣[test_indexes.xlsx]OvernightIndex!R32C3Corra,A</v>
      </c>
    </row>
    <row r="33" spans="1:3" x14ac:dyDescent="0.25">
      <c r="A33" s="13" t="s">
        <v>49</v>
      </c>
      <c r="B33" s="35" t="str" cm="1">
        <f t="array" ref="B33">_xll.qlDestr()</f>
        <v>欣[test_indexes.xlsx]OvernightIndex!R33C2Destr,A</v>
      </c>
      <c r="C33" s="42" t="str" cm="1">
        <f t="array" ref="C33">_xll.qlDestr(C29)</f>
        <v>欣[test_indexes.xlsx]OvernightIndex!R33C3Destr,A</v>
      </c>
    </row>
    <row r="34" spans="1:3" x14ac:dyDescent="0.25">
      <c r="A34" s="19" t="s">
        <v>50</v>
      </c>
      <c r="B34" s="4" t="str" cm="1">
        <f t="array" ref="B34">_xll.qlEonia()</f>
        <v>欣[test_indexes.xlsx]OvernightIndex!R34C2Eonia,A</v>
      </c>
      <c r="C34" s="20" t="str" cm="1">
        <f t="array" ref="C34">_xll.qlEonia(C29)</f>
        <v>欣[test_indexes.xlsx]OvernightIndex!R34C3Eonia,A</v>
      </c>
    </row>
    <row r="35" spans="1:3" x14ac:dyDescent="0.25">
      <c r="A35" s="13" t="s">
        <v>51</v>
      </c>
      <c r="B35" s="35" t="str" cm="1">
        <f t="array" ref="B35">_xll.qlEstr()</f>
        <v>欣[test_indexes.xlsx]OvernightIndex!R35C2Estr,A</v>
      </c>
      <c r="C35" s="42" t="str" cm="1">
        <f t="array" ref="C35">_xll.qlEstr(C29)</f>
        <v>欣[test_indexes.xlsx]OvernightIndex!R35C3Estr,A</v>
      </c>
    </row>
    <row r="36" spans="1:3" x14ac:dyDescent="0.25">
      <c r="A36" s="19" t="s">
        <v>52</v>
      </c>
      <c r="B36" s="4" t="str" cm="1">
        <f t="array" ref="B36">_xll.qlFedFunds()</f>
        <v>欣[test_indexes.xlsx]OvernightIndex!R36C2FedFunds,A</v>
      </c>
      <c r="C36" s="20" t="str" cm="1">
        <f t="array" ref="C36">_xll.qlFedFunds(C29)</f>
        <v>欣[test_indexes.xlsx]OvernightIndex!R36C3FedFunds,A</v>
      </c>
    </row>
    <row r="37" spans="1:3" x14ac:dyDescent="0.25">
      <c r="A37" s="13" t="s">
        <v>53</v>
      </c>
      <c r="B37" s="35" t="str" cm="1">
        <f t="array" ref="B37">_xll.qlKofr()</f>
        <v>欣[test_indexes.xlsx]OvernightIndex!R37C2Kofr,A</v>
      </c>
      <c r="C37" s="42" t="str" cm="1">
        <f t="array" ref="C37">_xll.qlKofr(C29)</f>
        <v>欣[test_indexes.xlsx]OvernightIndex!R37C3Kofr,A</v>
      </c>
    </row>
    <row r="38" spans="1:3" x14ac:dyDescent="0.25">
      <c r="A38" s="19" t="s">
        <v>54</v>
      </c>
      <c r="B38" s="4" t="str" cm="1">
        <f t="array" ref="B38">_xll.qlNzocr()</f>
        <v>欣[test_indexes.xlsx]OvernightIndex!R38C2Nzocr,A</v>
      </c>
      <c r="C38" s="20" t="str" cm="1">
        <f t="array" ref="C38">_xll.qlNzocr(C29)</f>
        <v>欣[test_indexes.xlsx]OvernightIndex!R38C3Nzocr,A</v>
      </c>
    </row>
    <row r="39" spans="1:3" x14ac:dyDescent="0.25">
      <c r="A39" s="13" t="s">
        <v>55</v>
      </c>
      <c r="B39" s="35" t="str" cm="1">
        <f t="array" ref="B39">_xll.qlSaron()</f>
        <v>欣[test_indexes.xlsx]OvernightIndex!R39C2Saron,A</v>
      </c>
      <c r="C39" s="42" t="str" cm="1">
        <f t="array" ref="C39">_xll.qlSaron(C29)</f>
        <v>欣[test_indexes.xlsx]OvernightIndex!R39C3Saron,A</v>
      </c>
    </row>
    <row r="40" spans="1:3" x14ac:dyDescent="0.25">
      <c r="A40" s="19" t="s">
        <v>141</v>
      </c>
      <c r="B40" s="4" t="str" cm="1">
        <f t="array" ref="B40">_xll.qlShir()</f>
        <v>欣[test_indexes.xlsx]OvernightIndex!R40C2Shir,A</v>
      </c>
      <c r="C40" s="20" t="str" cm="1">
        <f t="array" ref="C40">_xll.qlShir(C29)</f>
        <v>欣[test_indexes.xlsx]OvernightIndex!R40C3Shir,A</v>
      </c>
    </row>
    <row r="41" spans="1:3" x14ac:dyDescent="0.25">
      <c r="A41" s="19" t="s">
        <v>56</v>
      </c>
      <c r="B41" s="4" t="str" cm="1">
        <f t="array" ref="B41">_xll.qlSofr()</f>
        <v>欣[test_indexes.xlsx]OvernightIndex!R41C2Sofr,A</v>
      </c>
      <c r="C41" s="20" t="str" cm="1">
        <f t="array" ref="C41">_xll.qlSofr(C29)</f>
        <v>欣[test_indexes.xlsx]OvernightIndex!R41C3Sofr,A</v>
      </c>
    </row>
    <row r="42" spans="1:3" x14ac:dyDescent="0.25">
      <c r="A42" s="13" t="s">
        <v>57</v>
      </c>
      <c r="B42" s="35" t="str" cm="1">
        <f t="array" ref="B42">_xll.qlSonia()</f>
        <v>欣[test_indexes.xlsx]OvernightIndex!R42C2Sonia,A</v>
      </c>
      <c r="C42" s="42" t="str" cm="1">
        <f t="array" ref="C42">_xll.qlSonia(C29)</f>
        <v>欣[test_indexes.xlsx]OvernightIndex!R42C3Sonia,A</v>
      </c>
    </row>
    <row r="43" spans="1:3" x14ac:dyDescent="0.25">
      <c r="A43" s="13" t="s">
        <v>58</v>
      </c>
      <c r="B43" s="35" t="str" cm="1">
        <f t="array" ref="B43">_xll.qlSwestr()</f>
        <v>欣[test_indexes.xlsx]OvernightIndex!R43C2Swestr,A</v>
      </c>
      <c r="C43" s="42" t="str" cm="1">
        <f t="array" ref="C43">_xll.qlSwestr(C29)</f>
        <v>欣[test_indexes.xlsx]OvernightIndex!R43C3Swestr,A</v>
      </c>
    </row>
    <row r="44" spans="1:3" x14ac:dyDescent="0.25">
      <c r="A44" s="11" t="s">
        <v>59</v>
      </c>
      <c r="B44" s="21" t="str" cm="1">
        <f t="array" ref="B44">_xll.qlTonar()</f>
        <v>欣[test_indexes.xlsx]OvernightIndex!R44C2Tonar,A</v>
      </c>
      <c r="C44" s="22" t="str" cm="1">
        <f t="array" ref="C44">_xll.qlTonar(C29)</f>
        <v>欣[test_indexes.xlsx]OvernightIndex!R44C3Tonar,A</v>
      </c>
    </row>
    <row r="45" spans="1:3" x14ac:dyDescent="0.25">
      <c r="A45" s="45" t="s">
        <v>148</v>
      </c>
      <c r="B45" s="35" t="str" cm="1">
        <f t="array" ref="B45">_xll.qlZaronia()</f>
        <v>欣[test_indexes.xlsx]OvernightIndex!R45C2Zaronia,A</v>
      </c>
      <c r="C45" s="42" t="str" cm="1">
        <f t="array" ref="C45">_xll.qlZaronia(C29)</f>
        <v>欣[test_indexes.xlsx]OvernightIndex!R45C3Zaronia,A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F5CF-B3F2-483B-81AA-F0BF1159AAEF}">
  <dimension ref="A1:D7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9.140625" defaultRowHeight="15" x14ac:dyDescent="0.25"/>
  <cols>
    <col min="1" max="1" width="31.140625" bestFit="1" customWidth="1"/>
    <col min="2" max="2" width="97.7109375" style="2" bestFit="1" customWidth="1"/>
    <col min="3" max="4" width="66.85546875" bestFit="1" customWidth="1"/>
  </cols>
  <sheetData>
    <row r="1" spans="1:3" x14ac:dyDescent="0.25">
      <c r="A1" s="7" t="s">
        <v>15</v>
      </c>
      <c r="B1" s="27">
        <v>45658</v>
      </c>
    </row>
    <row r="2" spans="1:3" x14ac:dyDescent="0.25">
      <c r="A2" s="9" t="s">
        <v>18</v>
      </c>
      <c r="B2" s="23" cm="1">
        <f t="array" ref="B2">_xll.qlSettingsSetEvaluationDate(B1)</f>
        <v>45658</v>
      </c>
    </row>
    <row r="3" spans="1:3" x14ac:dyDescent="0.25">
      <c r="A3" s="9"/>
      <c r="B3" s="23"/>
    </row>
    <row r="4" spans="1:3" x14ac:dyDescent="0.25">
      <c r="A4" s="7" t="s">
        <v>8</v>
      </c>
      <c r="B4" s="8" t="str" cm="1">
        <f t="array" ref="B4">_xll.qlFlatForward(B2,0.03,"Actual365Fixed","Continuous")</f>
        <v>欣[test_indexes.xlsx]Swap(Spread)Index!R4C2YieldTermStructureHandle,A</v>
      </c>
      <c r="C4" s="8" t="str" cm="1">
        <f t="array" ref="C4">_xll.qlFlatForward(B2,0.03,"Actual365Fixed","Continuous")</f>
        <v>欣[test_indexes.xlsx]Swap(Spread)Index!R4C3YieldTermStructureHandle,A</v>
      </c>
    </row>
    <row r="5" spans="1:3" x14ac:dyDescent="0.25">
      <c r="A5" s="9" t="s">
        <v>67</v>
      </c>
      <c r="B5" s="28" t="s">
        <v>68</v>
      </c>
      <c r="C5" s="28" t="s">
        <v>68</v>
      </c>
    </row>
    <row r="6" spans="1:3" x14ac:dyDescent="0.25">
      <c r="A6" s="25" t="s">
        <v>69</v>
      </c>
      <c r="B6" s="29" t="str" cm="1">
        <f t="array" ref="B6">_xll.qlEuribor(B5,B4)</f>
        <v>欣[test_indexes.xlsx]Swap(Spread)Index!R6C2Euribor,A</v>
      </c>
      <c r="C6" s="29" t="str" cm="1">
        <f t="array" ref="C6">_xll.qlEuribor(C5,C4)</f>
        <v>欣[test_indexes.xlsx]Swap(Spread)Index!R6C3Euribor,A</v>
      </c>
    </row>
    <row r="7" spans="1:3" x14ac:dyDescent="0.25">
      <c r="A7" s="9" t="s">
        <v>0</v>
      </c>
      <c r="B7" s="10" t="s">
        <v>64</v>
      </c>
      <c r="C7" s="10" t="s">
        <v>64</v>
      </c>
    </row>
    <row r="8" spans="1:3" x14ac:dyDescent="0.25">
      <c r="A8" s="9" t="s">
        <v>1</v>
      </c>
      <c r="B8" s="10" t="s">
        <v>65</v>
      </c>
      <c r="C8" s="10" t="s">
        <v>65</v>
      </c>
    </row>
    <row r="9" spans="1:3" x14ac:dyDescent="0.25">
      <c r="A9" s="9" t="s">
        <v>2</v>
      </c>
      <c r="B9" s="10">
        <v>2</v>
      </c>
      <c r="C9" s="10">
        <v>2</v>
      </c>
    </row>
    <row r="10" spans="1:3" x14ac:dyDescent="0.25">
      <c r="A10" s="9" t="s">
        <v>3</v>
      </c>
      <c r="B10" s="10" t="s">
        <v>11</v>
      </c>
      <c r="C10" s="10" t="s">
        <v>11</v>
      </c>
    </row>
    <row r="11" spans="1:3" x14ac:dyDescent="0.25">
      <c r="A11" s="9" t="s">
        <v>4</v>
      </c>
      <c r="B11" s="10" t="s">
        <v>12</v>
      </c>
      <c r="C11" s="10" t="s">
        <v>12</v>
      </c>
    </row>
    <row r="12" spans="1:3" x14ac:dyDescent="0.25">
      <c r="A12" s="9" t="s">
        <v>71</v>
      </c>
      <c r="B12" s="10" t="s">
        <v>72</v>
      </c>
      <c r="C12" s="10" t="s">
        <v>72</v>
      </c>
    </row>
    <row r="13" spans="1:3" x14ac:dyDescent="0.25">
      <c r="A13" s="9" t="s">
        <v>60</v>
      </c>
      <c r="B13" s="10" t="s">
        <v>13</v>
      </c>
      <c r="C13" s="10" t="s">
        <v>13</v>
      </c>
    </row>
    <row r="14" spans="1:3" x14ac:dyDescent="0.25">
      <c r="A14" s="9" t="s">
        <v>61</v>
      </c>
      <c r="B14" s="10" t="s">
        <v>66</v>
      </c>
      <c r="C14" s="10" t="s">
        <v>66</v>
      </c>
    </row>
    <row r="15" spans="1:3" x14ac:dyDescent="0.25">
      <c r="A15" s="9" t="s">
        <v>62</v>
      </c>
      <c r="B15" s="28" t="str">
        <f>B6</f>
        <v>欣[test_indexes.xlsx]Swap(Spread)Index!R6C2Euribor,A</v>
      </c>
      <c r="C15" s="28" t="str">
        <f>C6</f>
        <v>欣[test_indexes.xlsx]Swap(Spread)Index!R6C3Euribor,A</v>
      </c>
    </row>
    <row r="16" spans="1:3" x14ac:dyDescent="0.25">
      <c r="A16" s="9" t="s">
        <v>63</v>
      </c>
      <c r="B16" s="10"/>
      <c r="C16" s="10" t="str" cm="1">
        <f t="array" ref="C16">_xll.qlFlatForward(B2,0.03+0.01,"Actual365Fixed","Continuous")</f>
        <v>欣[test_indexes.xlsx]Swap(Spread)Index!R16C3YieldTermStructureHandle,A</v>
      </c>
    </row>
    <row r="17" spans="1:4" x14ac:dyDescent="0.25">
      <c r="A17" s="19" t="s">
        <v>70</v>
      </c>
      <c r="B17" s="10" t="str" cm="1">
        <f t="array" ref="B17">_xll.qlSwapIndex(B7,B8,B9,B10,B11,B12,B13,B14,B15)</f>
        <v>欣[test_indexes.xlsx]Swap(Spread)Index!R17C2SwapIndex,A</v>
      </c>
      <c r="C17" t="str" cm="1">
        <f t="array" ref="C17">_xll.qlSwapIndex(C7,C8,C9,C10,C11,C12,C13,C14,C15,C16)</f>
        <v>欣[test_indexes.xlsx]Swap(Spread)Index!R17C3SwapIndex,A</v>
      </c>
    </row>
    <row r="18" spans="1:4" x14ac:dyDescent="0.25">
      <c r="A18" s="13" t="s">
        <v>107</v>
      </c>
      <c r="B18" s="14" t="str" cm="1">
        <f t="array" ref="B18">_xll.qlIndexName(B17)</f>
        <v>MySwapIndex10Y 30/360 (Bond Basis)</v>
      </c>
      <c r="C18" s="14" t="str" cm="1">
        <f t="array" ref="C18">_xll.qlIndexName(C17)</f>
        <v>MySwapIndex10Y 30/360 (Bond Basis)</v>
      </c>
    </row>
    <row r="19" spans="1:4" x14ac:dyDescent="0.25">
      <c r="A19" s="19" t="s">
        <v>108</v>
      </c>
      <c r="B19" s="10" t="str" cm="1">
        <f t="array" ref="B19">_xll.qlIndexFixingCalendar(B17)</f>
        <v>TARGET</v>
      </c>
      <c r="C19" s="10" t="str" cm="1">
        <f t="array" ref="C19">_xll.qlIndexFixingCalendar(C17)</f>
        <v>TARGET</v>
      </c>
    </row>
    <row r="20" spans="1:4" x14ac:dyDescent="0.25">
      <c r="A20" s="13" t="s">
        <v>109</v>
      </c>
      <c r="B20" s="14" t="b" cm="1">
        <f t="array" ref="B20">_xll.qlIndexIsValidFixingDate(B17,B1)</f>
        <v>0</v>
      </c>
      <c r="C20" s="14" t="b" cm="1">
        <f t="array" ref="C20">_xll.qlIndexIsValidFixingDate(C17,B1)</f>
        <v>0</v>
      </c>
    </row>
    <row r="21" spans="1:4" x14ac:dyDescent="0.25">
      <c r="A21" s="19" t="s">
        <v>110</v>
      </c>
      <c r="B21" s="10" t="b" cm="1">
        <f t="array" ref="B21">_xll.qlIndexHasHistoricalFixing(B17,B1)</f>
        <v>0</v>
      </c>
      <c r="C21" s="10" t="b" cm="1">
        <f t="array" ref="C21">_xll.qlIndexHasHistoricalFixing(C17,B1)</f>
        <v>0</v>
      </c>
    </row>
    <row r="22" spans="1:4" x14ac:dyDescent="0.25">
      <c r="A22" s="13" t="s">
        <v>111</v>
      </c>
      <c r="B22" s="14"/>
      <c r="C22" s="14"/>
    </row>
    <row r="23" spans="1:4" x14ac:dyDescent="0.25">
      <c r="A23" s="19" t="s">
        <v>117</v>
      </c>
      <c r="B23" s="10" t="str" cm="1">
        <f t="array" ref="B23">_xll.qlIndexTimeSeries(B17)</f>
        <v>欣[test_indexes.xlsx]Swap(Spread)Index!R23C2RealTimeSeries,A</v>
      </c>
      <c r="C23" s="10" t="str" cm="1">
        <f t="array" ref="C23">_xll.qlIndexTimeSeries(C17)</f>
        <v>欣[test_indexes.xlsx]Swap(Spread)Index!R23C3RealTimeSeries,A</v>
      </c>
    </row>
    <row r="24" spans="1:4" x14ac:dyDescent="0.25">
      <c r="A24" s="13" t="s">
        <v>118</v>
      </c>
      <c r="B24" s="14" t="str" cm="1">
        <f t="array" ref="B24">_xll.qlInterestRateIndexFamilyName(B17)</f>
        <v>MySwapIndex</v>
      </c>
      <c r="C24" s="14" t="str" cm="1">
        <f t="array" ref="C24">_xll.qlInterestRateIndexFamilyName(C17)</f>
        <v>MySwapIndex</v>
      </c>
    </row>
    <row r="25" spans="1:4" x14ac:dyDescent="0.25">
      <c r="A25" s="19" t="s">
        <v>119</v>
      </c>
      <c r="B25" s="10" t="str" cm="1">
        <f t="array" ref="B25">_xll.qlInterestRateIndexTenor(B17)</f>
        <v>10Y</v>
      </c>
      <c r="C25" s="10" t="str" cm="1">
        <f t="array" ref="C25">_xll.qlInterestRateIndexTenor(C17)</f>
        <v>10Y</v>
      </c>
    </row>
    <row r="26" spans="1:4" x14ac:dyDescent="0.25">
      <c r="A26" s="13" t="s">
        <v>120</v>
      </c>
      <c r="B26" s="14" cm="1">
        <f t="array" ref="B26">_xll.qlInterestRateIndexFixingDays(B17)</f>
        <v>2</v>
      </c>
      <c r="C26" s="14" cm="1">
        <f t="array" ref="C26">_xll.qlInterestRateIndexFixingDays(C17)</f>
        <v>2</v>
      </c>
    </row>
    <row r="27" spans="1:4" x14ac:dyDescent="0.25">
      <c r="A27" s="19" t="s">
        <v>121</v>
      </c>
      <c r="B27" s="10" t="str" cm="1">
        <f t="array" ref="B27">_xll.qlInterestRateIndexCurrency(B17)</f>
        <v>欣[test_indexes.xlsx]Swap(Spread)Index!R27C2Currency,A</v>
      </c>
      <c r="C27" s="10" t="str" cm="1">
        <f t="array" ref="C27">_xll.qlInterestRateIndexCurrency(C17)</f>
        <v>欣[test_indexes.xlsx]Swap(Spread)Index!R27C3Currency,A</v>
      </c>
    </row>
    <row r="28" spans="1:4" x14ac:dyDescent="0.25">
      <c r="A28" s="13" t="s">
        <v>122</v>
      </c>
      <c r="B28" s="14" t="str" cm="1">
        <f t="array" ref="B28">_xll.qlInterestRateIndexDayCounter(B17)</f>
        <v>30/360 (Bond Basis)</v>
      </c>
      <c r="C28" s="14" t="str" cm="1">
        <f t="array" ref="C28">_xll.qlInterestRateIndexDayCounter(C17)</f>
        <v>30/360 (Bond Basis)</v>
      </c>
    </row>
    <row r="29" spans="1:4" x14ac:dyDescent="0.25">
      <c r="A29" s="19" t="s">
        <v>125</v>
      </c>
      <c r="B29" s="23" cm="1">
        <f t="array" ref="B29">_xll.qlInterestRateIndexFixingDate(B17,B1)</f>
        <v>45656</v>
      </c>
      <c r="C29" s="23" cm="1">
        <f t="array" ref="C29">_xll.qlInterestRateIndexFixingDate(C17,B1)</f>
        <v>45656</v>
      </c>
    </row>
    <row r="30" spans="1:4" x14ac:dyDescent="0.25">
      <c r="A30" s="13" t="s">
        <v>123</v>
      </c>
      <c r="B30" s="15" cm="1">
        <f t="array" ref="B30">_xll.qlInterestRateIndexValueDate(B17,B29)</f>
        <v>45659</v>
      </c>
      <c r="C30" s="15" cm="1">
        <f t="array" ref="C30">_xll.qlInterestRateIndexValueDate(C17,C29)</f>
        <v>45659</v>
      </c>
    </row>
    <row r="31" spans="1:4" x14ac:dyDescent="0.25">
      <c r="A31" s="19" t="s">
        <v>124</v>
      </c>
      <c r="B31" s="23" cm="1">
        <f t="array" ref="B31">_xll.qlInterestRateIndexMaturityDate(B17,B30)</f>
        <v>49311</v>
      </c>
      <c r="C31" s="23" cm="1">
        <f t="array" ref="C31">_xll.qlInterestRateIndexMaturityDate(C17,C30)</f>
        <v>49311</v>
      </c>
    </row>
    <row r="32" spans="1:4" x14ac:dyDescent="0.25">
      <c r="A32" s="38" t="s">
        <v>1</v>
      </c>
      <c r="B32" s="33" t="str">
        <f>B8</f>
        <v>10y</v>
      </c>
      <c r="C32" s="33" t="str">
        <f>C8</f>
        <v>10y</v>
      </c>
      <c r="D32" s="27" t="s">
        <v>144</v>
      </c>
    </row>
    <row r="33" spans="1:4" x14ac:dyDescent="0.25">
      <c r="A33" s="37" t="s">
        <v>142</v>
      </c>
      <c r="B33" s="6"/>
      <c r="C33" s="6" t="str" cm="1">
        <f t="array" ref="C33">_xll.qlFlatForward(B2,0.03,"Actual365Fixed","Continuous")</f>
        <v>欣[test_indexes.xlsx]Swap(Spread)Index!R33C3YieldTermStructureHandle,A</v>
      </c>
      <c r="D33" s="20" t="str" cm="1">
        <f t="array" ref="D33">_xll.qlFlatForward(B2,0.03,"Actual365Fixed","Continuous")</f>
        <v>欣[test_indexes.xlsx]Swap(Spread)Index!R33C4YieldTermStructureHandle,A</v>
      </c>
    </row>
    <row r="34" spans="1:4" x14ac:dyDescent="0.25">
      <c r="A34" s="43" t="s">
        <v>143</v>
      </c>
      <c r="B34" s="34"/>
      <c r="C34" s="34"/>
      <c r="D34" s="22" t="str" cm="1">
        <f t="array" ref="D34">_xll.qlFlatForward(B2,0.03+0.01,"Actual365Fixed","Continuous")</f>
        <v>欣[test_indexes.xlsx]Swap(Spread)Index!R34C4YieldTermStructureHandle,A</v>
      </c>
    </row>
    <row r="35" spans="1:4" x14ac:dyDescent="0.25">
      <c r="A35" s="19" t="s">
        <v>73</v>
      </c>
      <c r="B35" s="4" t="str" cm="1">
        <f t="array" ref="B35">_xll.qlEuriborSwapIsdaFixA(B32)</f>
        <v>欣[test_indexes.xlsx]Swap(Spread)Index!R35C2EuriborSwapIsdaFixA,A</v>
      </c>
      <c r="C35" s="5" t="str" cm="1">
        <f t="array" ref="C35">_xll.qlEuriborSwapIsdaFixA(C32,C33)</f>
        <v>欣[test_indexes.xlsx]Swap(Spread)Index!R35C3EuriborSwapIsdaFixA,A</v>
      </c>
      <c r="D35" s="20" t="str" cm="1">
        <f t="array" ref="D35">_xll.qlEuriborSwapIsdaFixA(D32,D33,D34)</f>
        <v>欣[test_indexes.xlsx]Swap(Spread)Index!R35C4EuriborSwapIsdaFixA,A</v>
      </c>
    </row>
    <row r="36" spans="1:4" x14ac:dyDescent="0.25">
      <c r="A36" s="13" t="s">
        <v>74</v>
      </c>
      <c r="B36" s="35" t="str" cm="1">
        <f t="array" ref="B36">_xll.qlEuriborSwapIsdaFixB(B32)</f>
        <v>欣[test_indexes.xlsx]Swap(Spread)Index!R36C2EuriborSwapIsdaFixB,A</v>
      </c>
      <c r="C36" s="41" t="str" cm="1">
        <f t="array" ref="C36">_xll.qlEuriborSwapIsdaFixB(C32,C33)</f>
        <v>欣[test_indexes.xlsx]Swap(Spread)Index!R36C3EuriborSwapIsdaFixB,A</v>
      </c>
      <c r="D36" s="42" t="str" cm="1">
        <f t="array" ref="D36">_xll.qlEuriborSwapIsdaFixB(D32,D33,D34)</f>
        <v>欣[test_indexes.xlsx]Swap(Spread)Index!R36C4EuriborSwapIsdaFixB,A</v>
      </c>
    </row>
    <row r="37" spans="1:4" x14ac:dyDescent="0.25">
      <c r="A37" s="19" t="s">
        <v>75</v>
      </c>
      <c r="B37" s="4" t="str" cm="1">
        <f t="array" ref="B37">_xll.qlEuriborSwapIfrFix(B32)</f>
        <v>欣[test_indexes.xlsx]Swap(Spread)Index!R37C2EuriborSwapIfrFix,A</v>
      </c>
      <c r="C37" s="5" t="str" cm="1">
        <f t="array" ref="C37">_xll.qlEuriborSwapIfrFix(C32,C33)</f>
        <v>欣[test_indexes.xlsx]Swap(Spread)Index!R37C3EuriborSwapIfrFix,A</v>
      </c>
      <c r="D37" s="20" t="str" cm="1">
        <f t="array" ref="D37">_xll.qlEuriborSwapIfrFix(D32,D33,D34)</f>
        <v>欣[test_indexes.xlsx]Swap(Spread)Index!R37C4EuriborSwapIfrFix,A</v>
      </c>
    </row>
    <row r="38" spans="1:4" x14ac:dyDescent="0.25">
      <c r="A38" s="13" t="s">
        <v>76</v>
      </c>
      <c r="B38" s="35" t="str" cm="1">
        <f t="array" ref="B38">_xll.qlEurLiborSwapIsdaFixA(B32)</f>
        <v>欣[test_indexes.xlsx]Swap(Spread)Index!R38C2EurLiborSwapIsdaFixA,A</v>
      </c>
      <c r="C38" s="41" t="str" cm="1">
        <f t="array" ref="C38">_xll.qlEurLiborSwapIsdaFixA(C32,C33)</f>
        <v>欣[test_indexes.xlsx]Swap(Spread)Index!R38C3EurLiborSwapIsdaFixA,A</v>
      </c>
      <c r="D38" s="42" t="str" cm="1">
        <f t="array" ref="D38">_xll.qlEurLiborSwapIsdaFixA(D32,D33,D34)</f>
        <v>欣[test_indexes.xlsx]Swap(Spread)Index!R38C4EurLiborSwapIsdaFixA,A</v>
      </c>
    </row>
    <row r="39" spans="1:4" x14ac:dyDescent="0.25">
      <c r="A39" s="19" t="s">
        <v>77</v>
      </c>
      <c r="B39" s="4" t="str" cm="1">
        <f t="array" ref="B39">_xll.qlEurLiborSwapIsdaFixB(B32)</f>
        <v>欣[test_indexes.xlsx]Swap(Spread)Index!R39C2EurLiborSwapIsdaFixB,A</v>
      </c>
      <c r="C39" s="5" t="str" cm="1">
        <f t="array" ref="C39">_xll.qlEurLiborSwapIsdaFixB(C32,C33)</f>
        <v>欣[test_indexes.xlsx]Swap(Spread)Index!R39C3EurLiborSwapIsdaFixB,A</v>
      </c>
      <c r="D39" s="20" t="str" cm="1">
        <f t="array" ref="D39">_xll.qlEurLiborSwapIsdaFixB(D32,D33,D34)</f>
        <v>欣[test_indexes.xlsx]Swap(Spread)Index!R39C4EurLiborSwapIsdaFixB,A</v>
      </c>
    </row>
    <row r="40" spans="1:4" x14ac:dyDescent="0.25">
      <c r="A40" s="13" t="s">
        <v>78</v>
      </c>
      <c r="B40" s="35" t="str" cm="1">
        <f t="array" ref="B40">_xll.qlEurLiborSwapIfrFix(B32)</f>
        <v>欣[test_indexes.xlsx]Swap(Spread)Index!R40C2EurLiborSwapIfrFix,A</v>
      </c>
      <c r="C40" s="41" t="str" cm="1">
        <f t="array" ref="C40">_xll.qlEurLiborSwapIfrFix(C32,C33)</f>
        <v>欣[test_indexes.xlsx]Swap(Spread)Index!R40C3EurLiborSwapIfrFix,A</v>
      </c>
      <c r="D40" s="42" t="str" cm="1">
        <f t="array" ref="D40">_xll.qlEurLiborSwapIfrFix(D32,D33,D34)</f>
        <v>欣[test_indexes.xlsx]Swap(Spread)Index!R40C4EurLiborSwapIfrFix,A</v>
      </c>
    </row>
    <row r="41" spans="1:4" x14ac:dyDescent="0.25">
      <c r="A41" s="19" t="s">
        <v>79</v>
      </c>
      <c r="B41" s="4" t="str" cm="1">
        <f t="array" ref="B41">_xll.qlChfLiborSwapIsdaFix(B32)</f>
        <v>欣[test_indexes.xlsx]Swap(Spread)Index!R41C2ChfLiborSwapIsdaFix,A</v>
      </c>
      <c r="C41" s="5" t="str" cm="1">
        <f t="array" ref="C41">_xll.qlChfLiborSwapIsdaFix(C32,C33)</f>
        <v>欣[test_indexes.xlsx]Swap(Spread)Index!R41C3ChfLiborSwapIsdaFix,A</v>
      </c>
      <c r="D41" s="20" t="str" cm="1">
        <f t="array" ref="D41">_xll.qlChfLiborSwapIsdaFix(D32,D33,D34)</f>
        <v>欣[test_indexes.xlsx]Swap(Spread)Index!R41C4ChfLiborSwapIsdaFix,A</v>
      </c>
    </row>
    <row r="42" spans="1:4" x14ac:dyDescent="0.25">
      <c r="A42" s="13" t="s">
        <v>80</v>
      </c>
      <c r="B42" s="35" t="str" cm="1">
        <f t="array" ref="B42">_xll.qlGbpLiborSwapIsdaFix(B32)</f>
        <v>欣[test_indexes.xlsx]Swap(Spread)Index!R42C2GbpLiborSwapIsdaFix,A</v>
      </c>
      <c r="C42" s="41" t="str" cm="1">
        <f t="array" ref="C42">_xll.qlGbpLiborSwapIsdaFix(C32,C33)</f>
        <v>欣[test_indexes.xlsx]Swap(Spread)Index!R42C3GbpLiborSwapIsdaFix,A</v>
      </c>
      <c r="D42" s="42" t="str" cm="1">
        <f t="array" ref="D42">_xll.qlGbpLiborSwapIsdaFix(D32,D33,D34)</f>
        <v>欣[test_indexes.xlsx]Swap(Spread)Index!R42C4GbpLiborSwapIsdaFix,A</v>
      </c>
    </row>
    <row r="43" spans="1:4" x14ac:dyDescent="0.25">
      <c r="A43" s="19" t="s">
        <v>81</v>
      </c>
      <c r="B43" s="4" t="str" cm="1">
        <f t="array" ref="B43">_xll.qlJpyLiborSwapIsdaFixAm(B32)</f>
        <v>欣[test_indexes.xlsx]Swap(Spread)Index!R43C2JpyLiborSwapIsdaFixAm,A</v>
      </c>
      <c r="C43" s="5" t="str" cm="1">
        <f t="array" ref="C43">_xll.qlJpyLiborSwapIsdaFixAm(C32,C33)</f>
        <v>欣[test_indexes.xlsx]Swap(Spread)Index!R43C3JpyLiborSwapIsdaFixAm,A</v>
      </c>
      <c r="D43" s="20" t="str" cm="1">
        <f t="array" ref="D43">_xll.qlJpyLiborSwapIsdaFixAm(D32,D33,D34)</f>
        <v>欣[test_indexes.xlsx]Swap(Spread)Index!R43C4JpyLiborSwapIsdaFixAm,A</v>
      </c>
    </row>
    <row r="44" spans="1:4" x14ac:dyDescent="0.25">
      <c r="A44" s="13" t="s">
        <v>82</v>
      </c>
      <c r="B44" s="35" t="str" cm="1">
        <f t="array" ref="B44">_xll.qlJpyLiborSwapIsdaFixPm(B32)</f>
        <v>欣[test_indexes.xlsx]Swap(Spread)Index!R44C2JpyLiborSwapIsdaFixPm,A</v>
      </c>
      <c r="C44" s="41" t="str" cm="1">
        <f t="array" ref="C44">_xll.qlJpyLiborSwapIsdaFixPm(C32,C33)</f>
        <v>欣[test_indexes.xlsx]Swap(Spread)Index!R44C3JpyLiborSwapIsdaFixPm,A</v>
      </c>
      <c r="D44" s="42" t="str" cm="1">
        <f t="array" ref="D44">_xll.qlJpyLiborSwapIsdaFixPm(D32,D33,D34)</f>
        <v>欣[test_indexes.xlsx]Swap(Spread)Index!R44C4JpyLiborSwapIsdaFixPm,A</v>
      </c>
    </row>
    <row r="45" spans="1:4" x14ac:dyDescent="0.25">
      <c r="A45" s="13" t="s">
        <v>83</v>
      </c>
      <c r="B45" s="35" t="str" cm="1">
        <f t="array" ref="B45">_xll.qlUsdLiborSwapIsdaFixAm(B32)</f>
        <v>欣[test_indexes.xlsx]Swap(Spread)Index!R45C2UsdLiborSwapIsdaFixAm,A</v>
      </c>
      <c r="C45" s="41" t="str" cm="1">
        <f t="array" ref="C45">_xll.qlUsdLiborSwapIsdaFixAm(C32,C33)</f>
        <v>欣[test_indexes.xlsx]Swap(Spread)Index!R45C3UsdLiborSwapIsdaFixAm,A</v>
      </c>
      <c r="D45" s="42" t="str" cm="1">
        <f t="array" ref="D45">_xll.qlUsdLiborSwapIsdaFixAm(D32,D33,D34)</f>
        <v>欣[test_indexes.xlsx]Swap(Spread)Index!R45C4UsdLiborSwapIsdaFixAm,A</v>
      </c>
    </row>
    <row r="46" spans="1:4" x14ac:dyDescent="0.25">
      <c r="A46" s="11" t="s">
        <v>84</v>
      </c>
      <c r="B46" s="21" t="str" cm="1">
        <f t="array" ref="B46">_xll.qlUsdLiborSwapIsdaFixPm(B32)</f>
        <v>欣[test_indexes.xlsx]Swap(Spread)Index!R46C2UsdLiborSwapIsdaFixPm,A</v>
      </c>
      <c r="C46" s="26" t="str" cm="1">
        <f t="array" ref="C46">_xll.qlUsdLiborSwapIsdaFixPm(C32,C33)</f>
        <v>欣[test_indexes.xlsx]Swap(Spread)Index!R46C3UsdLiborSwapIsdaFixPm,A</v>
      </c>
      <c r="D46" s="22" t="str" cm="1">
        <f t="array" ref="D46">_xll.qlUsdLiborSwapIsdaFixPm(D32,D33,D34)</f>
        <v>欣[test_indexes.xlsx]Swap(Spread)Index!R46C4UsdLiborSwapIsdaFixPm,A</v>
      </c>
    </row>
    <row r="48" spans="1:4" x14ac:dyDescent="0.25">
      <c r="A48" s="39" t="s">
        <v>145</v>
      </c>
      <c r="B48" s="8" t="str" cm="1">
        <f t="array" ref="B48">_xll.qlFlatForward(B2,0.03+0.01,"Actual365Fixed","Continuous")</f>
        <v>欣[test_indexes.xlsx]Swap(Spread)Index!R48C2YieldTermStructureHandle,A</v>
      </c>
    </row>
    <row r="49" spans="1:2" x14ac:dyDescent="0.25">
      <c r="A49" s="40" t="s">
        <v>146</v>
      </c>
      <c r="B49" s="10" t="str" cm="1">
        <f t="array" ref="B49">_xll.qlFlatForward(B2,0.03,"Actual365Fixed","Continuous")</f>
        <v>欣[test_indexes.xlsx]Swap(Spread)Index!R49C2YieldTermStructureHandle,A</v>
      </c>
    </row>
    <row r="50" spans="1:2" x14ac:dyDescent="0.25">
      <c r="A50" s="9" t="s">
        <v>89</v>
      </c>
      <c r="B50" s="10" t="s">
        <v>90</v>
      </c>
    </row>
    <row r="51" spans="1:2" x14ac:dyDescent="0.25">
      <c r="A51" s="9" t="s">
        <v>65</v>
      </c>
      <c r="B51" s="10" t="str" cm="1">
        <f t="array" ref="B51">_xll.qlEuriborSwapIsdaFixA(A51,B4,B48)</f>
        <v>欣[test_indexes.xlsx]Swap(Spread)Index!R51C2EuriborSwapIsdaFixA,A</v>
      </c>
    </row>
    <row r="52" spans="1:2" x14ac:dyDescent="0.25">
      <c r="A52" s="9" t="s">
        <v>85</v>
      </c>
      <c r="B52" s="10" t="str" cm="1">
        <f t="array" ref="B52">_xll.qlEuriborSwapIsdaFixA(A52,B49,B48)</f>
        <v>欣[test_indexes.xlsx]Swap(Spread)Index!R52C2EuriborSwapIsdaFixA,A</v>
      </c>
    </row>
    <row r="53" spans="1:2" x14ac:dyDescent="0.25">
      <c r="A53" s="9" t="s">
        <v>86</v>
      </c>
      <c r="B53" s="10">
        <v>1</v>
      </c>
    </row>
    <row r="54" spans="1:2" x14ac:dyDescent="0.25">
      <c r="A54" s="9" t="s">
        <v>87</v>
      </c>
      <c r="B54" s="10">
        <v>-1</v>
      </c>
    </row>
    <row r="55" spans="1:2" x14ac:dyDescent="0.25">
      <c r="A55" s="11" t="s">
        <v>88</v>
      </c>
      <c r="B55" s="12" t="str" cm="1">
        <f t="array" ref="B55">_xll.qlSwapSpreadIndex(B50,B51,B52,B53,B54)</f>
        <v>欣[test_indexes.xlsx]Swap(Spread)Index!R55C2SwapSpreadIndex,A</v>
      </c>
    </row>
    <row r="56" spans="1:2" x14ac:dyDescent="0.25">
      <c r="A56" s="13" t="s">
        <v>107</v>
      </c>
      <c r="B56" s="14" t="str" cm="1">
        <f t="array" ref="B56">_xll.qlIndexName(B55)</f>
        <v>EuriborSwapIsdaFixA10Y 30/360 (Bond Basis)(1.0000) + EuriborSwapIsdaFixA2Y 30/360 (Bond Basis)(-1.0000)</v>
      </c>
    </row>
    <row r="57" spans="1:2" x14ac:dyDescent="0.25">
      <c r="A57" s="19" t="s">
        <v>108</v>
      </c>
      <c r="B57" s="10" t="str" cm="1">
        <f t="array" ref="B57">_xll.qlIndexFixingCalendar(B55)</f>
        <v>TARGET</v>
      </c>
    </row>
    <row r="58" spans="1:2" x14ac:dyDescent="0.25">
      <c r="A58" s="13" t="s">
        <v>109</v>
      </c>
      <c r="B58" s="14" t="b" cm="1">
        <f t="array" ref="B58">_xll.qlIndexIsValidFixingDate(B55,B1)</f>
        <v>0</v>
      </c>
    </row>
    <row r="59" spans="1:2" x14ac:dyDescent="0.25">
      <c r="A59" s="19" t="s">
        <v>110</v>
      </c>
      <c r="B59" s="10" t="b" cm="1">
        <f t="array" ref="B59">_xll.qlIndexHasHistoricalFixing(B55,B1)</f>
        <v>0</v>
      </c>
    </row>
    <row r="60" spans="1:2" x14ac:dyDescent="0.25">
      <c r="A60" s="13" t="s">
        <v>111</v>
      </c>
      <c r="B60" s="14"/>
    </row>
    <row r="61" spans="1:2" x14ac:dyDescent="0.25">
      <c r="A61" s="19" t="s">
        <v>117</v>
      </c>
      <c r="B61" s="10" t="str" cm="1">
        <f t="array" ref="B61">_xll.qlIndexTimeSeries(B55)</f>
        <v>欣[test_indexes.xlsx]Swap(Spread)Index!R61C2RealTimeSeries,A</v>
      </c>
    </row>
    <row r="62" spans="1:2" x14ac:dyDescent="0.25">
      <c r="A62" s="13" t="s">
        <v>118</v>
      </c>
      <c r="B62" s="14" t="str" cm="1">
        <f t="array" ref="B62">_xll.qlInterestRateIndexFamilyName(B55)</f>
        <v>MySwapSpread</v>
      </c>
    </row>
    <row r="63" spans="1:2" x14ac:dyDescent="0.25">
      <c r="A63" s="19" t="s">
        <v>119</v>
      </c>
      <c r="B63" s="10" t="str" cm="1">
        <f t="array" ref="B63">_xll.qlInterestRateIndexTenor(B55)</f>
        <v>10Y</v>
      </c>
    </row>
    <row r="64" spans="1:2" x14ac:dyDescent="0.25">
      <c r="A64" s="13" t="s">
        <v>120</v>
      </c>
      <c r="B64" s="14" cm="1">
        <f t="array" ref="B64">_xll.qlInterestRateIndexFixingDays(B55)</f>
        <v>2</v>
      </c>
    </row>
    <row r="65" spans="1:2" x14ac:dyDescent="0.25">
      <c r="A65" s="19" t="s">
        <v>121</v>
      </c>
      <c r="B65" s="10" t="str" cm="1">
        <f t="array" ref="B65">_xll.qlInterestRateIndexCurrency(B55)</f>
        <v>欣[test_indexes.xlsx]Swap(Spread)Index!R65C2Currency,A</v>
      </c>
    </row>
    <row r="66" spans="1:2" x14ac:dyDescent="0.25">
      <c r="A66" s="13" t="s">
        <v>122</v>
      </c>
      <c r="B66" s="14" t="str" cm="1">
        <f t="array" ref="B66">_xll.qlInterestRateIndexDayCounter(B55)</f>
        <v>30/360 (Bond Basis)</v>
      </c>
    </row>
    <row r="67" spans="1:2" x14ac:dyDescent="0.25">
      <c r="A67" s="19" t="s">
        <v>125</v>
      </c>
      <c r="B67" s="23" cm="1">
        <f t="array" ref="B67">_xll.qlInterestRateIndexFixingDate(B55,B1)</f>
        <v>45656</v>
      </c>
    </row>
    <row r="68" spans="1:2" x14ac:dyDescent="0.25">
      <c r="A68" s="13" t="s">
        <v>123</v>
      </c>
      <c r="B68" s="15" cm="1">
        <f t="array" ref="B68">_xll.qlInterestRateIndexValueDate(B55,B67)</f>
        <v>45659</v>
      </c>
    </row>
    <row r="69" spans="1:2" x14ac:dyDescent="0.25">
      <c r="A69" s="13" t="s">
        <v>124</v>
      </c>
      <c r="B69" s="15"/>
    </row>
    <row r="70" spans="1:2" x14ac:dyDescent="0.25">
      <c r="A70" s="19" t="s">
        <v>91</v>
      </c>
      <c r="B70" s="30" cm="1">
        <f t="array" ref="B70">_xll.qlIndexFixing(B55,B1+369)</f>
        <v>1.7315719980495747E-5</v>
      </c>
    </row>
    <row r="71" spans="1:2" x14ac:dyDescent="0.25">
      <c r="A71" s="13" t="s">
        <v>92</v>
      </c>
      <c r="B71" s="31" cm="1">
        <f t="array" ref="B71">_xll.qlSwapIndexForecastFixing(B55,B1+369)</f>
        <v>1.7315719980495747E-5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BD58-2A36-4D21-9DE0-DA3A824F19C5}">
  <dimension ref="A1:B1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9.140625" defaultRowHeight="15" x14ac:dyDescent="0.25"/>
  <cols>
    <col min="1" max="1" width="25.42578125" bestFit="1" customWidth="1"/>
    <col min="2" max="2" width="60.85546875" bestFit="1" customWidth="1"/>
  </cols>
  <sheetData>
    <row r="1" spans="1:2" x14ac:dyDescent="0.25">
      <c r="A1" t="s">
        <v>15</v>
      </c>
      <c r="B1" s="1">
        <v>45658</v>
      </c>
    </row>
    <row r="2" spans="1:2" x14ac:dyDescent="0.25">
      <c r="A2" t="s">
        <v>18</v>
      </c>
      <c r="B2" s="1" cm="1">
        <f t="array" ref="B2">_xll.qlSettingsSetEvaluationDate(B1)</f>
        <v>45658</v>
      </c>
    </row>
    <row r="3" spans="1:2" x14ac:dyDescent="0.25">
      <c r="B3" s="1"/>
    </row>
    <row r="4" spans="1:2" x14ac:dyDescent="0.25">
      <c r="A4" s="7" t="s">
        <v>93</v>
      </c>
      <c r="B4" s="32">
        <v>0.03</v>
      </c>
    </row>
    <row r="5" spans="1:2" x14ac:dyDescent="0.25">
      <c r="A5" s="9" t="s">
        <v>94</v>
      </c>
      <c r="B5" s="20">
        <v>0.01</v>
      </c>
    </row>
    <row r="6" spans="1:2" x14ac:dyDescent="0.25">
      <c r="A6" s="9" t="s">
        <v>97</v>
      </c>
      <c r="B6" s="20">
        <v>100</v>
      </c>
    </row>
    <row r="7" spans="1:2" x14ac:dyDescent="0.25">
      <c r="A7" s="9" t="s">
        <v>100</v>
      </c>
      <c r="B7" s="20" t="s">
        <v>101</v>
      </c>
    </row>
    <row r="8" spans="1:2" x14ac:dyDescent="0.25">
      <c r="A8" s="9" t="s">
        <v>102</v>
      </c>
      <c r="B8" s="20" t="s">
        <v>11</v>
      </c>
    </row>
    <row r="9" spans="1:2" x14ac:dyDescent="0.25">
      <c r="A9" s="9" t="s">
        <v>95</v>
      </c>
      <c r="B9" s="20" t="str" cm="1">
        <f t="array" ref="B9">_xll.qlFlatForward(B2,B4,"Actual365Fixed","Continuous")</f>
        <v>欣[test_indexes.xlsx]EquityIndex!R9C2YieldTermStructureHandle,A</v>
      </c>
    </row>
    <row r="10" spans="1:2" x14ac:dyDescent="0.25">
      <c r="A10" s="9" t="s">
        <v>96</v>
      </c>
      <c r="B10" s="20" t="str" cm="1">
        <f t="array" ref="B10">_xll.qlFlatForward(B2,B5,"Actual365Fixed","Continuous")</f>
        <v>欣[test_indexes.xlsx]EquityIndex!R10C2YieldTermStructureHandle,A</v>
      </c>
    </row>
    <row r="11" spans="1:2" x14ac:dyDescent="0.25">
      <c r="A11" s="9" t="s">
        <v>98</v>
      </c>
      <c r="B11" s="20" t="s">
        <v>99</v>
      </c>
    </row>
    <row r="12" spans="1:2" x14ac:dyDescent="0.25">
      <c r="A12" s="11" t="s">
        <v>103</v>
      </c>
      <c r="B12" s="22" t="str" cm="1">
        <f t="array" ref="B12">_xll.qlEquityIndex(B11,B7,B8,B6,B9,B10)</f>
        <v>欣[test_indexes.xlsx]EquityIndex!R12C2EquityIndex,A</v>
      </c>
    </row>
    <row r="13" spans="1:2" x14ac:dyDescent="0.25">
      <c r="A13" s="13" t="s">
        <v>107</v>
      </c>
      <c r="B13" s="14" t="str" cm="1">
        <f t="array" ref="B13">_xll.qlIndexName(B12)</f>
        <v>MyDax</v>
      </c>
    </row>
    <row r="14" spans="1:2" x14ac:dyDescent="0.25">
      <c r="A14" s="19" t="s">
        <v>108</v>
      </c>
      <c r="B14" s="10" t="str" cm="1">
        <f t="array" ref="B14">_xll.qlIndexFixingCalendar(B12)</f>
        <v>Null</v>
      </c>
    </row>
    <row r="15" spans="1:2" x14ac:dyDescent="0.25">
      <c r="A15" s="13" t="s">
        <v>109</v>
      </c>
      <c r="B15" s="14" t="b" cm="1">
        <f t="array" ref="B15">_xll.qlIndexIsValidFixingDate(B12,B1)</f>
        <v>1</v>
      </c>
    </row>
    <row r="16" spans="1:2" x14ac:dyDescent="0.25">
      <c r="A16" s="19" t="s">
        <v>110</v>
      </c>
      <c r="B16" s="10" t="b" cm="1">
        <f t="array" ref="B16">_xll.qlIndexHasHistoricalFixing(B12,B1)</f>
        <v>0</v>
      </c>
    </row>
    <row r="17" spans="1:2" x14ac:dyDescent="0.25">
      <c r="A17" s="13" t="s">
        <v>111</v>
      </c>
      <c r="B17" s="14"/>
    </row>
    <row r="18" spans="1:2" x14ac:dyDescent="0.25">
      <c r="A18" s="11" t="s">
        <v>91</v>
      </c>
      <c r="B18" s="22" cm="1">
        <f t="array" ref="B18">_xll.qlIndexFixing(B12,B2+365)</f>
        <v>102.02013400267558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943A-B968-4B9E-9193-755AAA4BA32A}">
  <dimension ref="A1:C2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0" sqref="C10"/>
    </sheetView>
  </sheetViews>
  <sheetFormatPr baseColWidth="10" defaultRowHeight="15" x14ac:dyDescent="0.25"/>
  <cols>
    <col min="1" max="1" width="35" bestFit="1" customWidth="1"/>
    <col min="2" max="2" width="59.42578125" style="2" bestFit="1" customWidth="1"/>
    <col min="3" max="3" width="59.42578125" bestFit="1" customWidth="1"/>
  </cols>
  <sheetData>
    <row r="1" spans="1:3" x14ac:dyDescent="0.25">
      <c r="A1" t="s">
        <v>15</v>
      </c>
      <c r="B1" s="3">
        <v>45658</v>
      </c>
    </row>
    <row r="2" spans="1:3" x14ac:dyDescent="0.25">
      <c r="A2" t="s">
        <v>18</v>
      </c>
      <c r="B2" s="3" cm="1">
        <f t="array" ref="B2">_xll.qlSettingsSetEvaluationDate(B1)</f>
        <v>45658</v>
      </c>
    </row>
    <row r="4" spans="1:3" x14ac:dyDescent="0.25">
      <c r="A4" s="7" t="s">
        <v>134</v>
      </c>
      <c r="B4" s="17"/>
      <c r="C4" s="18" t="str" cm="1">
        <f t="array" ref="C4">_xll.qlFlatForward(B1,0.02,"Actual365Fixed","Continuous")</f>
        <v>欣[test_indexes.xlsx]BMAIndex!R4C3YieldTermStructureHandle,A</v>
      </c>
    </row>
    <row r="5" spans="1:3" x14ac:dyDescent="0.25">
      <c r="A5" s="19" t="s">
        <v>135</v>
      </c>
      <c r="B5" s="4" t="str" cm="1">
        <f t="array" ref="B5">_xll.qlBMAIndex(,B2)</f>
        <v>欣[test_indexes.xlsx]BMAIndex!R5C2BMAIndex,A</v>
      </c>
      <c r="C5" s="20" t="str" cm="1">
        <f t="array" ref="C5">_xll.qlBMAIndex(C4,B2)</f>
        <v>欣[test_indexes.xlsx]BMAIndex!R5C3BMAIndex,A</v>
      </c>
    </row>
    <row r="6" spans="1:3" x14ac:dyDescent="0.25">
      <c r="A6" s="16" t="s">
        <v>107</v>
      </c>
      <c r="B6" s="17" t="str" cm="1">
        <f t="array" ref="B6">_xll.qlIndexName(B5)</f>
        <v>BMA1W Actual/Actual (ISDA)</v>
      </c>
      <c r="C6" s="8" t="str" cm="1">
        <f t="array" ref="C6">_xll.qlIndexName(C5)</f>
        <v>BMA1W Actual/Actual (ISDA)</v>
      </c>
    </row>
    <row r="7" spans="1:3" x14ac:dyDescent="0.25">
      <c r="A7" s="13" t="s">
        <v>108</v>
      </c>
      <c r="B7" s="35" t="str" cm="1">
        <f t="array" ref="B7">_xll.qlIndexFixingCalendar(B5)</f>
        <v>US government bond market</v>
      </c>
      <c r="C7" s="14" t="str" cm="1">
        <f t="array" ref="C7">_xll.qlIndexFixingCalendar(C5)</f>
        <v>US government bond market</v>
      </c>
    </row>
    <row r="8" spans="1:3" x14ac:dyDescent="0.25">
      <c r="A8" s="19" t="s">
        <v>109</v>
      </c>
      <c r="B8" s="4" t="b" cm="1">
        <f t="array" ref="B8">_xll.qlIndexIsValidFixingDate(B5,B1)</f>
        <v>0</v>
      </c>
      <c r="C8" s="10" t="b" cm="1">
        <f t="array" ref="C8">_xll.qlIndexIsValidFixingDate(C5,B1)</f>
        <v>0</v>
      </c>
    </row>
    <row r="9" spans="1:3" x14ac:dyDescent="0.25">
      <c r="A9" s="13" t="s">
        <v>110</v>
      </c>
      <c r="B9" s="35" t="b" cm="1">
        <f t="array" ref="B9">_xll.qlIndexHasHistoricalFixing(B5,B1)</f>
        <v>0</v>
      </c>
      <c r="C9" s="14" t="b" cm="1">
        <f t="array" ref="C9">_xll.qlIndexHasHistoricalFixing(C5,B1)</f>
        <v>0</v>
      </c>
    </row>
    <row r="10" spans="1:3" x14ac:dyDescent="0.25">
      <c r="A10" s="19" t="s">
        <v>111</v>
      </c>
      <c r="B10" s="4"/>
      <c r="C10" s="10"/>
    </row>
    <row r="11" spans="1:3" x14ac:dyDescent="0.25">
      <c r="A11" s="13" t="s">
        <v>117</v>
      </c>
      <c r="B11" s="35" t="str" cm="1">
        <f t="array" ref="B11">_xll.qlIndexTimeSeries(B5)</f>
        <v>欣[test_indexes.xlsx]BMAIndex!R11C2RealTimeSeries,A</v>
      </c>
      <c r="C11" s="14" t="str" cm="1">
        <f t="array" ref="C11">_xll.qlIndexTimeSeries(C5)</f>
        <v>欣[test_indexes.xlsx]BMAIndex!R11C3RealTimeSeries,A</v>
      </c>
    </row>
    <row r="12" spans="1:3" x14ac:dyDescent="0.25">
      <c r="A12" s="19" t="s">
        <v>118</v>
      </c>
      <c r="B12" s="4" t="str" cm="1">
        <f t="array" ref="B12">_xll.qlInterestRateIndexFamilyName(B5)</f>
        <v>BMA</v>
      </c>
      <c r="C12" s="10" t="str" cm="1">
        <f t="array" ref="C12">_xll.qlInterestRateIndexFamilyName(C5)</f>
        <v>BMA</v>
      </c>
    </row>
    <row r="13" spans="1:3" x14ac:dyDescent="0.25">
      <c r="A13" s="13" t="s">
        <v>119</v>
      </c>
      <c r="B13" s="35" t="str" cm="1">
        <f t="array" ref="B13">_xll.qlInterestRateIndexTenor(B5)</f>
        <v>1W</v>
      </c>
      <c r="C13" s="14" t="str" cm="1">
        <f t="array" ref="C13">_xll.qlInterestRateIndexTenor(C5)</f>
        <v>1W</v>
      </c>
    </row>
    <row r="14" spans="1:3" x14ac:dyDescent="0.25">
      <c r="A14" s="19" t="s">
        <v>120</v>
      </c>
      <c r="B14" s="4" cm="1">
        <f t="array" ref="B14">_xll.qlInterestRateIndexFixingDays(B5)</f>
        <v>1</v>
      </c>
      <c r="C14" s="10" cm="1">
        <f t="array" ref="C14">_xll.qlInterestRateIndexFixingDays(C5)</f>
        <v>1</v>
      </c>
    </row>
    <row r="15" spans="1:3" x14ac:dyDescent="0.25">
      <c r="A15" s="13" t="s">
        <v>121</v>
      </c>
      <c r="B15" s="35" t="str" cm="1">
        <f t="array" ref="B15">_xll.qlInterestRateIndexCurrency(B5)</f>
        <v>欣[test_indexes.xlsx]BMAIndex!R15C2Currency,A</v>
      </c>
      <c r="C15" s="14" t="str" cm="1">
        <f t="array" ref="C15">_xll.qlInterestRateIndexCurrency(C5)</f>
        <v>欣[test_indexes.xlsx]BMAIndex!R15C3Currency,A</v>
      </c>
    </row>
    <row r="16" spans="1:3" x14ac:dyDescent="0.25">
      <c r="A16" s="19" t="s">
        <v>122</v>
      </c>
      <c r="B16" s="4" t="str" cm="1">
        <f t="array" ref="B16">_xll.qlInterestRateIndexDayCounter(B5)</f>
        <v>Actual/Actual (ISDA)</v>
      </c>
      <c r="C16" s="10" t="str" cm="1">
        <f t="array" ref="C16">_xll.qlInterestRateIndexDayCounter(C5)</f>
        <v>Actual/Actual (ISDA)</v>
      </c>
    </row>
    <row r="17" spans="1:3" x14ac:dyDescent="0.25">
      <c r="A17" s="13" t="s">
        <v>125</v>
      </c>
      <c r="B17" s="36" cm="1">
        <f t="array" ref="B17">_xll.qlInterestRateIndexFixingDate(B5,B1)</f>
        <v>45657</v>
      </c>
      <c r="C17" s="15" cm="1">
        <f t="array" ref="C17">_xll.qlInterestRateIndexFixingDate(C5,B1)</f>
        <v>45657</v>
      </c>
    </row>
    <row r="18" spans="1:3" x14ac:dyDescent="0.25">
      <c r="A18" s="13" t="s">
        <v>123</v>
      </c>
      <c r="B18" s="36"/>
      <c r="C18" s="15"/>
    </row>
    <row r="19" spans="1:3" x14ac:dyDescent="0.25">
      <c r="A19" s="11" t="s">
        <v>124</v>
      </c>
      <c r="B19" s="34"/>
      <c r="C19" s="24"/>
    </row>
    <row r="20" spans="1:3" x14ac:dyDescent="0.25">
      <c r="A20" s="19" t="s">
        <v>136</v>
      </c>
      <c r="B20" s="4" t="str" cm="1">
        <f t="array" ref="B20">_xll.qlBMAIndexForwardingTermStructure(B5)</f>
        <v>欣[test_indexes.xlsx]BMAIndex!R20C2YieldTermStructureHandle,A</v>
      </c>
      <c r="C20" s="20" t="str" cm="1">
        <f t="array" ref="C20">_xll.qlBMAIndexForwardingTermStructure(C5)</f>
        <v>欣[test_indexes.xlsx]BMAIndex!R20C3YieldTermStructureHandle,A</v>
      </c>
    </row>
    <row r="21" spans="1:3" x14ac:dyDescent="0.25">
      <c r="A21" s="7" t="s">
        <v>138</v>
      </c>
      <c r="B21" s="33">
        <v>45658</v>
      </c>
      <c r="C21" s="27">
        <v>45658</v>
      </c>
    </row>
    <row r="22" spans="1:3" x14ac:dyDescent="0.25">
      <c r="A22" s="9" t="s">
        <v>139</v>
      </c>
      <c r="B22" s="6">
        <v>45719</v>
      </c>
      <c r="C22" s="23">
        <v>45719</v>
      </c>
    </row>
    <row r="23" spans="1:3" x14ac:dyDescent="0.25">
      <c r="A23" s="11" t="s">
        <v>137</v>
      </c>
      <c r="B23" s="21" t="str" cm="1">
        <f t="array" ref="B23">_xll.qlBMAIndexFixingSchedule(B5,B21,B22,B5)</f>
        <v>欣[test_indexes.xlsx]BMAIndex!R23C2Schedule,A</v>
      </c>
      <c r="C23" s="12" t="str" cm="1">
        <f t="array" ref="C23">_xll.qlBMAIndexFixingSchedule(C5,C21,C22,C5)</f>
        <v>欣[test_indexes.xlsx]BMAIndex!R23C3Schedule,A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Tabs</vt:lpstr>
      <vt:lpstr>(InterestRate)Index</vt:lpstr>
      <vt:lpstr>IborIndex</vt:lpstr>
      <vt:lpstr>OvernightIndex</vt:lpstr>
      <vt:lpstr>Swap(Spread)Index</vt:lpstr>
      <vt:lpstr>EquityIndex</vt:lpstr>
      <vt:lpstr>BMAIndex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2026-05-24T06:05:23Z</dcterms:created>
  <dcterms:modified xsi:type="dcterms:W3CDTF">2026-10-19T13:46:39Z</dcterms:modified>
</cp:coreProperties>
</file>