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740B449C-6DC4-46D2-B089-DAD9080B2F7C}" xr6:coauthVersionLast="36" xr6:coauthVersionMax="47" xr10:uidLastSave="{00000000-0000-0000-0000-000000000000}"/>
  <bookViews>
    <workbookView xWindow="-120" yWindow="-21720" windowWidth="38640" windowHeight="21120" xr2:uid="{27232A84-7D6C-4EF7-8EDD-D20622985291}"/>
  </bookViews>
  <sheets>
    <sheet name="Tabs" sheetId="26" r:id="rId1"/>
    <sheet name="EvaluationDate" sheetId="3" r:id="rId2"/>
    <sheet name="CashFlows" sheetId="1" r:id="rId3"/>
    <sheet name="Coupons" sheetId="2" r:id="rId4"/>
    <sheet name="Legs" sheetId="4" r:id="rId5"/>
    <sheet name="IborCoupon" sheetId="5" r:id="rId6"/>
    <sheet name="CappedFlooredIborCoupon" sheetId="6" r:id="rId7"/>
    <sheet name="OvernightIndexedCoupon" sheetId="8" r:id="rId8"/>
    <sheet name="CmsCoupon" sheetId="9" r:id="rId9"/>
    <sheet name="CmsSpreadCoupon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11" l="1"/>
  <c r="C10" i="11" s="1"/>
  <c r="B9" i="11"/>
  <c r="B10" i="11" s="1"/>
  <c r="C51" i="11"/>
  <c r="C24" i="11"/>
  <c r="C27" i="11" s="1"/>
  <c r="C29" i="11" s="1"/>
  <c r="C12" i="11"/>
  <c r="B2" i="11"/>
  <c r="B11" i="11"/>
  <c r="B13" i="11" s="1"/>
  <c r="B51" i="11"/>
  <c r="B24" i="11"/>
  <c r="B27" i="11" s="1"/>
  <c r="B29" i="11" s="1"/>
  <c r="B12" i="11"/>
  <c r="B14" i="11" s="1"/>
  <c r="B23" i="11" s="1"/>
  <c r="C11" i="11"/>
  <c r="C13" i="11" s="1"/>
  <c r="C14" i="11" s="1"/>
  <c r="C23" i="11" s="1"/>
  <c r="C8" i="8"/>
  <c r="B25" i="8"/>
  <c r="B8" i="8"/>
  <c r="B9" i="8" s="1"/>
  <c r="B23" i="8" s="1"/>
  <c r="B57" i="8"/>
  <c r="B2" i="8"/>
  <c r="B47" i="8" s="1"/>
  <c r="B51" i="8"/>
  <c r="B53" i="8"/>
  <c r="C9" i="8"/>
  <c r="C47" i="8"/>
  <c r="B59" i="8"/>
  <c r="B60" i="8"/>
  <c r="B56" i="8"/>
  <c r="B52" i="8"/>
  <c r="C23" i="8"/>
  <c r="B55" i="8"/>
  <c r="C44" i="6"/>
  <c r="B22" i="6"/>
  <c r="C9" i="6"/>
  <c r="C10" i="6" s="1"/>
  <c r="B2" i="6"/>
  <c r="C20" i="6"/>
  <c r="C9" i="5"/>
  <c r="C10" i="5"/>
  <c r="C40" i="5"/>
  <c r="B2" i="5"/>
  <c r="B9" i="5" s="1"/>
  <c r="B10" i="5" s="1"/>
  <c r="C19" i="5"/>
  <c r="C42" i="5"/>
  <c r="C34" i="5"/>
  <c r="C22" i="5"/>
  <c r="B40" i="5"/>
  <c r="C39" i="5"/>
  <c r="C31" i="5"/>
  <c r="C23" i="5"/>
  <c r="B19" i="5"/>
  <c r="C30" i="5"/>
  <c r="C27" i="5"/>
  <c r="C35" i="5"/>
  <c r="C20" i="5"/>
  <c r="C24" i="5"/>
  <c r="C28" i="5"/>
  <c r="C32" i="5"/>
  <c r="C36" i="5"/>
  <c r="C26" i="5"/>
  <c r="C38" i="5"/>
  <c r="C21" i="5"/>
  <c r="C25" i="5"/>
  <c r="C29" i="5"/>
  <c r="C33" i="5"/>
  <c r="C37" i="5"/>
  <c r="C41" i="5"/>
  <c r="B23" i="5"/>
  <c r="B27" i="5"/>
  <c r="B31" i="5"/>
  <c r="B35" i="5"/>
  <c r="B39" i="5"/>
  <c r="B20" i="5"/>
  <c r="B24" i="5"/>
  <c r="B28" i="5"/>
  <c r="B32" i="5"/>
  <c r="B36" i="5"/>
  <c r="B21" i="5"/>
  <c r="B25" i="5"/>
  <c r="B29" i="5"/>
  <c r="B33" i="5"/>
  <c r="B37" i="5"/>
  <c r="B41" i="5"/>
  <c r="B22" i="5"/>
  <c r="B26" i="5"/>
  <c r="B30" i="5"/>
  <c r="B34" i="5"/>
  <c r="B38" i="5"/>
  <c r="B42" i="5"/>
  <c r="B9" i="6"/>
  <c r="B10" i="6" s="1"/>
  <c r="B20" i="6" s="1"/>
  <c r="B44" i="6"/>
  <c r="C21" i="6"/>
  <c r="C22" i="6" s="1"/>
  <c r="C23" i="6"/>
  <c r="C27" i="6"/>
  <c r="C31" i="6"/>
  <c r="C35" i="6"/>
  <c r="C39" i="6"/>
  <c r="C43" i="6"/>
  <c r="C47" i="6"/>
  <c r="C51" i="6"/>
  <c r="C24" i="6"/>
  <c r="C28" i="6"/>
  <c r="C32" i="6"/>
  <c r="C36" i="6"/>
  <c r="C40" i="6"/>
  <c r="C48" i="6"/>
  <c r="C52" i="6"/>
  <c r="B23" i="6"/>
  <c r="B27" i="6"/>
  <c r="B31" i="6"/>
  <c r="B35" i="6"/>
  <c r="B39" i="6"/>
  <c r="B43" i="6"/>
  <c r="B47" i="6"/>
  <c r="B51" i="6"/>
  <c r="B30" i="6"/>
  <c r="B38" i="6"/>
  <c r="B50" i="6"/>
  <c r="B36" i="6"/>
  <c r="B52" i="6"/>
  <c r="C26" i="6"/>
  <c r="C30" i="6"/>
  <c r="C50" i="6"/>
  <c r="C46" i="6"/>
  <c r="C42" i="6"/>
  <c r="C38" i="6"/>
  <c r="C34" i="6"/>
  <c r="C49" i="6"/>
  <c r="C45" i="6"/>
  <c r="C41" i="6"/>
  <c r="C37" i="6"/>
  <c r="C33" i="6"/>
  <c r="C29" i="6"/>
  <c r="C25" i="6"/>
  <c r="B46" i="6"/>
  <c r="B34" i="6"/>
  <c r="B28" i="6"/>
  <c r="B42" i="6"/>
  <c r="B26" i="6"/>
  <c r="B48" i="6"/>
  <c r="B32" i="6"/>
  <c r="B49" i="6"/>
  <c r="B45" i="6"/>
  <c r="B41" i="6"/>
  <c r="B37" i="6"/>
  <c r="B33" i="6"/>
  <c r="B29" i="6"/>
  <c r="B25" i="6"/>
  <c r="B40" i="6"/>
  <c r="B24" i="6"/>
  <c r="B61" i="8"/>
  <c r="B26" i="8"/>
  <c r="B30" i="8"/>
  <c r="B34" i="8"/>
  <c r="B38" i="8"/>
  <c r="B42" i="8"/>
  <c r="B46" i="8"/>
  <c r="B50" i="8"/>
  <c r="B54" i="8"/>
  <c r="B58" i="8"/>
  <c r="B62" i="8"/>
  <c r="C24" i="8"/>
  <c r="C25" i="8" s="1"/>
  <c r="C52" i="8"/>
  <c r="C56" i="8"/>
  <c r="C60" i="8"/>
  <c r="C53" i="8"/>
  <c r="C57" i="8"/>
  <c r="C61" i="8"/>
  <c r="C54" i="8"/>
  <c r="C58" i="8"/>
  <c r="C62" i="8"/>
  <c r="B49" i="8"/>
  <c r="B41" i="8"/>
  <c r="B37" i="8"/>
  <c r="B27" i="8"/>
  <c r="B35" i="8"/>
  <c r="B28" i="8"/>
  <c r="B32" i="8"/>
  <c r="B36" i="8"/>
  <c r="B40" i="8"/>
  <c r="B44" i="8"/>
  <c r="B48" i="8"/>
  <c r="B39" i="8"/>
  <c r="B43" i="8"/>
  <c r="B31" i="8"/>
  <c r="B29" i="8"/>
  <c r="B33" i="8"/>
  <c r="B45" i="8"/>
  <c r="C55" i="8"/>
  <c r="C26" i="8"/>
  <c r="C51" i="8"/>
  <c r="C59" i="8"/>
  <c r="C50" i="8"/>
  <c r="C42" i="8"/>
  <c r="C30" i="8"/>
  <c r="C49" i="8"/>
  <c r="C45" i="8"/>
  <c r="C41" i="8"/>
  <c r="C37" i="8"/>
  <c r="C33" i="8"/>
  <c r="C29" i="8"/>
  <c r="C34" i="8"/>
  <c r="C48" i="8"/>
  <c r="C44" i="8"/>
  <c r="C40" i="8"/>
  <c r="C36" i="8"/>
  <c r="C32" i="8"/>
  <c r="C28" i="8"/>
  <c r="C39" i="8"/>
  <c r="C31" i="8"/>
  <c r="C46" i="8"/>
  <c r="C38" i="8"/>
  <c r="C27" i="8"/>
  <c r="C35" i="8"/>
  <c r="C43" i="8"/>
  <c r="B30" i="11"/>
  <c r="B32" i="11"/>
  <c r="B36" i="11"/>
  <c r="B40" i="11"/>
  <c r="B44" i="11"/>
  <c r="B48" i="11"/>
  <c r="B52" i="11"/>
  <c r="B42" i="11"/>
  <c r="B33" i="11"/>
  <c r="B37" i="11"/>
  <c r="B41" i="11"/>
  <c r="B45" i="11"/>
  <c r="B49" i="11"/>
  <c r="B53" i="11"/>
  <c r="B38" i="11"/>
  <c r="C30" i="11"/>
  <c r="C34" i="11"/>
  <c r="C38" i="11"/>
  <c r="C42" i="11"/>
  <c r="C46" i="11"/>
  <c r="C50" i="11"/>
  <c r="C31" i="11"/>
  <c r="C35" i="11"/>
  <c r="C39" i="11"/>
  <c r="C43" i="11"/>
  <c r="C47" i="11"/>
  <c r="C32" i="11"/>
  <c r="C36" i="11"/>
  <c r="C40" i="11"/>
  <c r="C44" i="11"/>
  <c r="C48" i="11"/>
  <c r="C52" i="11"/>
  <c r="C33" i="11"/>
  <c r="C37" i="11"/>
  <c r="C41" i="11"/>
  <c r="C45" i="11"/>
  <c r="C49" i="11"/>
  <c r="C53" i="11"/>
  <c r="B47" i="11"/>
  <c r="B43" i="11"/>
  <c r="B39" i="11"/>
  <c r="B35" i="11"/>
  <c r="B31" i="11"/>
  <c r="B34" i="11"/>
  <c r="B50" i="11"/>
  <c r="B46" i="11"/>
  <c r="G6" i="4" l="1"/>
  <c r="G7" i="4" s="1"/>
  <c r="G8" i="4" s="1"/>
  <c r="G9" i="4" s="1"/>
  <c r="G10" i="4" s="1"/>
  <c r="G11" i="4" s="1"/>
  <c r="G12" i="4" s="1"/>
  <c r="B2" i="9"/>
  <c r="B49" i="9"/>
  <c r="B9" i="9"/>
  <c r="B10" i="9" s="1"/>
  <c r="B24" i="9"/>
  <c r="B27" i="9" s="1"/>
  <c r="C24" i="9"/>
  <c r="C9" i="9"/>
  <c r="B51" i="2" a="1"/>
  <c r="C49" i="9"/>
  <c r="B51" i="2" l="1"/>
  <c r="B11" i="9"/>
  <c r="C10" i="9"/>
  <c r="C27" i="9"/>
  <c r="B14" i="9"/>
  <c r="B23" i="9" s="1"/>
  <c r="B28" i="9"/>
  <c r="B30" i="9"/>
  <c r="B41" i="9"/>
  <c r="B32" i="9"/>
  <c r="B38" i="9"/>
  <c r="B39" i="9"/>
  <c r="B36" i="9"/>
  <c r="B42" i="9"/>
  <c r="B43" i="9"/>
  <c r="B33" i="9"/>
  <c r="B40" i="9"/>
  <c r="B46" i="9"/>
  <c r="B47" i="9"/>
  <c r="B35" i="9"/>
  <c r="B44" i="9"/>
  <c r="B50" i="9"/>
  <c r="B51" i="9"/>
  <c r="B37" i="9"/>
  <c r="B31" i="9"/>
  <c r="B34" i="9"/>
  <c r="B48" i="9"/>
  <c r="B29" i="9"/>
  <c r="B45" i="9"/>
  <c r="B2" i="3" a="1"/>
  <c r="C11" i="9"/>
  <c r="C14" i="9"/>
  <c r="C23" i="9"/>
  <c r="C28" i="9"/>
  <c r="C32" i="9"/>
  <c r="C50" i="9"/>
  <c r="C45" i="9"/>
  <c r="C30" i="9"/>
  <c r="C35" i="9"/>
  <c r="C46" i="9"/>
  <c r="C37" i="9"/>
  <c r="C42" i="9"/>
  <c r="C51" i="9"/>
  <c r="C48" i="9"/>
  <c r="C47" i="9"/>
  <c r="C38" i="9"/>
  <c r="C44" i="9"/>
  <c r="C43" i="9"/>
  <c r="C34" i="9"/>
  <c r="C40" i="9"/>
  <c r="C29" i="9"/>
  <c r="C31" i="9"/>
  <c r="C41" i="9"/>
  <c r="C36" i="9"/>
  <c r="C39" i="9"/>
  <c r="B2" i="3" l="1"/>
  <c r="C33" i="9"/>
  <c r="B1" i="4" l="1"/>
  <c r="B1" i="2"/>
  <c r="B1" i="1"/>
  <c r="B3" i="1"/>
  <c r="B4" i="1"/>
  <c r="B5" i="1" s="1" a="1"/>
  <c r="B3" i="2"/>
  <c r="B14" i="2" a="1"/>
  <c r="B3" i="4"/>
  <c r="B4" i="4"/>
  <c r="B13" i="4" a="1"/>
  <c r="B5" i="2" a="1"/>
  <c r="B6" i="2" a="1"/>
  <c r="B7" i="4" a="1"/>
  <c r="B9" i="4" a="1"/>
  <c r="B8" i="4" a="1"/>
  <c r="B6" i="4" a="1"/>
  <c r="B31" i="4" a="1"/>
  <c r="B30" i="4" a="1"/>
  <c r="B32" i="4" a="1"/>
  <c r="B32" i="4" l="1"/>
  <c r="B33" i="4"/>
  <c r="B30" i="4"/>
  <c r="B31" i="4"/>
  <c r="B6" i="4"/>
  <c r="B8" i="4"/>
  <c r="B9" i="4"/>
  <c r="B7" i="4"/>
  <c r="B6" i="2"/>
  <c r="B5" i="2"/>
  <c r="B13" i="4"/>
  <c r="B14" i="2"/>
  <c r="B5" i="1"/>
  <c r="B7" i="1"/>
  <c r="B14" i="4" a="1"/>
  <c r="B10" i="4" a="1"/>
  <c r="B13" i="1" a="1"/>
  <c r="B12" i="1" a="1"/>
  <c r="B11" i="1" a="1"/>
  <c r="B15" i="2" a="1"/>
  <c r="B15" i="2" l="1"/>
  <c r="B11" i="1"/>
  <c r="B12" i="1"/>
  <c r="B13" i="1"/>
  <c r="B10" i="4"/>
  <c r="B14" i="4"/>
  <c r="B14" i="1" a="1"/>
  <c r="B16" i="2" a="1"/>
  <c r="C11" i="1" a="1"/>
  <c r="D11" i="1" a="1"/>
  <c r="E11" i="1" a="1"/>
  <c r="C12" i="1" a="1"/>
  <c r="D12" i="1" a="1"/>
  <c r="E12" i="1" a="1"/>
  <c r="E13" i="1" a="1"/>
  <c r="C13" i="1" a="1"/>
  <c r="D13" i="1" a="1"/>
  <c r="B18" i="4" a="1"/>
  <c r="B18" i="4" l="1"/>
  <c r="D13" i="1"/>
  <c r="C13" i="1"/>
  <c r="E13" i="1"/>
  <c r="E12" i="1"/>
  <c r="D12" i="1"/>
  <c r="C12" i="1"/>
  <c r="E11" i="1"/>
  <c r="D11" i="1"/>
  <c r="C11" i="1"/>
  <c r="B16" i="2"/>
  <c r="B14" i="1"/>
  <c r="F4" i="4" a="1"/>
  <c r="B24" i="4" a="1"/>
  <c r="B22" i="4" a="1"/>
  <c r="B26" i="4" a="1"/>
  <c r="B23" i="4" a="1"/>
  <c r="B25" i="4" a="1"/>
  <c r="B21" i="4" a="1"/>
  <c r="B20" i="4" a="1"/>
  <c r="B18" i="2" a="1"/>
  <c r="C14" i="1" a="1"/>
  <c r="E14" i="1" a="1"/>
  <c r="B15" i="1" a="1"/>
  <c r="D14" i="1" a="1"/>
  <c r="D14" i="1" l="1"/>
  <c r="B15" i="1"/>
  <c r="E14" i="1"/>
  <c r="C14" i="1"/>
  <c r="B18" i="2"/>
  <c r="G20" i="4"/>
  <c r="D20" i="4"/>
  <c r="B20" i="4"/>
  <c r="E20" i="4"/>
  <c r="H20" i="4"/>
  <c r="I20" i="4"/>
  <c r="F20" i="4"/>
  <c r="C20" i="4"/>
  <c r="D21" i="4"/>
  <c r="F21" i="4"/>
  <c r="I21" i="4"/>
  <c r="E21" i="4"/>
  <c r="C21" i="4"/>
  <c r="G21" i="4"/>
  <c r="B21" i="4"/>
  <c r="H21" i="4"/>
  <c r="I25" i="4"/>
  <c r="H25" i="4"/>
  <c r="D25" i="4"/>
  <c r="G25" i="4"/>
  <c r="E25" i="4"/>
  <c r="F25" i="4"/>
  <c r="B25" i="4"/>
  <c r="C25" i="4"/>
  <c r="C23" i="4"/>
  <c r="G23" i="4"/>
  <c r="F23" i="4"/>
  <c r="B23" i="4"/>
  <c r="I23" i="4"/>
  <c r="H23" i="4"/>
  <c r="D23" i="4"/>
  <c r="E23" i="4"/>
  <c r="E26" i="4"/>
  <c r="B26" i="4"/>
  <c r="D26" i="4"/>
  <c r="C26" i="4"/>
  <c r="D22" i="4"/>
  <c r="H22" i="4"/>
  <c r="G22" i="4"/>
  <c r="C22" i="4"/>
  <c r="E22" i="4"/>
  <c r="B22" i="4"/>
  <c r="I22" i="4"/>
  <c r="F22" i="4"/>
  <c r="B24" i="4"/>
  <c r="I24" i="4"/>
  <c r="E24" i="4"/>
  <c r="H24" i="4"/>
  <c r="F24" i="4"/>
  <c r="G24" i="4"/>
  <c r="C24" i="4"/>
  <c r="D24" i="4"/>
  <c r="F5" i="4"/>
  <c r="F10" i="4"/>
  <c r="F9" i="4"/>
  <c r="F12" i="4"/>
  <c r="F4" i="4"/>
  <c r="F8" i="4"/>
  <c r="F7" i="4"/>
  <c r="F11" i="4"/>
  <c r="F6" i="4"/>
  <c r="B17" i="2"/>
  <c r="B21" i="2" a="1"/>
  <c r="B23" i="2" a="1"/>
  <c r="B25" i="2" a="1"/>
  <c r="B20" i="2" a="1"/>
  <c r="B22" i="2"/>
  <c r="B24" i="2" a="1"/>
  <c r="B29" i="4" a="1"/>
  <c r="B28" i="4" a="1"/>
  <c r="B73" i="2" a="1"/>
  <c r="B26" i="2"/>
  <c r="D22" i="2" a="1"/>
  <c r="B68" i="2" a="1"/>
  <c r="B72" i="2" a="1"/>
  <c r="B67" i="2" a="1"/>
  <c r="B62" i="2" a="1"/>
  <c r="B64" i="2" a="1"/>
  <c r="B69" i="2" a="1"/>
  <c r="C22" i="2" a="1"/>
  <c r="B74" i="2" a="1"/>
  <c r="B70" i="2" a="1"/>
  <c r="B71" i="2" a="1"/>
  <c r="B75" i="2" a="1"/>
  <c r="B65" i="2" a="1"/>
  <c r="B79" i="2" a="1"/>
  <c r="B82" i="2" a="1"/>
  <c r="B60" i="2" a="1"/>
  <c r="B55" i="2" a="1"/>
  <c r="C26" i="2" a="1"/>
  <c r="B77" i="2" a="1"/>
  <c r="B78" i="2" a="1"/>
  <c r="B80" i="2" a="1"/>
  <c r="B58" i="2" a="1"/>
  <c r="B83" i="2" a="1"/>
  <c r="B81" i="2" a="1"/>
  <c r="B81" i="2" l="1"/>
  <c r="B83" i="2"/>
  <c r="B58" i="2"/>
  <c r="B80" i="2"/>
  <c r="B78" i="2"/>
  <c r="B77" i="2"/>
  <c r="C26" i="2"/>
  <c r="B55" i="2"/>
  <c r="B60" i="2"/>
  <c r="B82" i="2"/>
  <c r="B79" i="2"/>
  <c r="B65" i="2"/>
  <c r="B75" i="2"/>
  <c r="BG71" i="2"/>
  <c r="BF71" i="2"/>
  <c r="AD71" i="2"/>
  <c r="I71" i="2"/>
  <c r="AN71" i="2"/>
  <c r="BH71" i="2"/>
  <c r="G71" i="2"/>
  <c r="M71" i="2"/>
  <c r="L71" i="2"/>
  <c r="AY71" i="2"/>
  <c r="AX71" i="2"/>
  <c r="BM71" i="2"/>
  <c r="BB71" i="2"/>
  <c r="AF71" i="2"/>
  <c r="BK71" i="2"/>
  <c r="AZ71" i="2"/>
  <c r="E71" i="2"/>
  <c r="AQ71" i="2"/>
  <c r="AP71" i="2"/>
  <c r="BE71" i="2"/>
  <c r="AL71" i="2"/>
  <c r="X71" i="2"/>
  <c r="BC71" i="2"/>
  <c r="BI71" i="2"/>
  <c r="C71" i="2"/>
  <c r="AI71" i="2"/>
  <c r="AH71" i="2"/>
  <c r="AW71" i="2"/>
  <c r="N71" i="2"/>
  <c r="P71" i="2"/>
  <c r="AU71" i="2"/>
  <c r="BA71" i="2"/>
  <c r="AR71" i="2"/>
  <c r="AA71" i="2"/>
  <c r="Z71" i="2"/>
  <c r="AO71" i="2"/>
  <c r="F71" i="2"/>
  <c r="H71" i="2"/>
  <c r="AM71" i="2"/>
  <c r="AS71" i="2"/>
  <c r="AJ71" i="2"/>
  <c r="S71" i="2"/>
  <c r="R71" i="2"/>
  <c r="AG71" i="2"/>
  <c r="BL71" i="2"/>
  <c r="BJ71" i="2"/>
  <c r="AE71" i="2"/>
  <c r="AK71" i="2"/>
  <c r="AB71" i="2"/>
  <c r="K71" i="2"/>
  <c r="J71" i="2"/>
  <c r="Y71" i="2"/>
  <c r="BD71" i="2"/>
  <c r="AT71" i="2"/>
  <c r="W71" i="2"/>
  <c r="AC71" i="2"/>
  <c r="T71" i="2"/>
  <c r="BO71" i="2"/>
  <c r="BN71" i="2"/>
  <c r="B71" i="2"/>
  <c r="Q71" i="2"/>
  <c r="AV71" i="2"/>
  <c r="V71" i="2"/>
  <c r="O71" i="2"/>
  <c r="U71" i="2"/>
  <c r="D71" i="2"/>
  <c r="BJ70" i="2"/>
  <c r="Z70" i="2"/>
  <c r="E70" i="2"/>
  <c r="AR70" i="2"/>
  <c r="J70" i="2"/>
  <c r="K70" i="2"/>
  <c r="Y70" i="2"/>
  <c r="G70" i="2"/>
  <c r="H70" i="2"/>
  <c r="BB70" i="2"/>
  <c r="BI70" i="2"/>
  <c r="BF70" i="2"/>
  <c r="AJ70" i="2"/>
  <c r="BO70" i="2"/>
  <c r="C70" i="2"/>
  <c r="Q70" i="2"/>
  <c r="BD70" i="2"/>
  <c r="AU70" i="2"/>
  <c r="AT70" i="2"/>
  <c r="BA70" i="2"/>
  <c r="AX70" i="2"/>
  <c r="AB70" i="2"/>
  <c r="BG70" i="2"/>
  <c r="R70" i="2"/>
  <c r="I70" i="2"/>
  <c r="X70" i="2"/>
  <c r="O70" i="2"/>
  <c r="AM70" i="2"/>
  <c r="BH70" i="2"/>
  <c r="AO70" i="2"/>
  <c r="AL70" i="2"/>
  <c r="AS70" i="2"/>
  <c r="AH70" i="2"/>
  <c r="T70" i="2"/>
  <c r="AY70" i="2"/>
  <c r="BM70" i="2"/>
  <c r="BL70" i="2"/>
  <c r="BC70" i="2"/>
  <c r="U70" i="2"/>
  <c r="AD70" i="2"/>
  <c r="AK70" i="2"/>
  <c r="B70" i="2"/>
  <c r="L70" i="2"/>
  <c r="AQ70" i="2"/>
  <c r="BE70" i="2"/>
  <c r="AF70" i="2"/>
  <c r="W70" i="2"/>
  <c r="N70" i="2"/>
  <c r="V70" i="2"/>
  <c r="AC70" i="2"/>
  <c r="BP70" i="2"/>
  <c r="D70" i="2"/>
  <c r="AI70" i="2"/>
  <c r="AW70" i="2"/>
  <c r="AV70" i="2"/>
  <c r="P70" i="2"/>
  <c r="BN70" i="2"/>
  <c r="AA70" i="2"/>
  <c r="BK70" i="2"/>
  <c r="F70" i="2"/>
  <c r="M70" i="2"/>
  <c r="AZ70" i="2"/>
  <c r="AP70" i="2"/>
  <c r="S70" i="2"/>
  <c r="AG70" i="2"/>
  <c r="AE70" i="2"/>
  <c r="AN70" i="2"/>
  <c r="B74" i="2"/>
  <c r="C22" i="2"/>
  <c r="B69" i="2"/>
  <c r="B64" i="2"/>
  <c r="B62" i="2"/>
  <c r="B67" i="2"/>
  <c r="AF72" i="2"/>
  <c r="AE72" i="2"/>
  <c r="AD72" i="2"/>
  <c r="C72" i="2"/>
  <c r="E72" i="2"/>
  <c r="AO72" i="2"/>
  <c r="AB72" i="2"/>
  <c r="AP72" i="2"/>
  <c r="BM72" i="2"/>
  <c r="AI72" i="2"/>
  <c r="X72" i="2"/>
  <c r="W72" i="2"/>
  <c r="V72" i="2"/>
  <c r="BI72" i="2"/>
  <c r="BG72" i="2"/>
  <c r="AG72" i="2"/>
  <c r="T72" i="2"/>
  <c r="AH72" i="2"/>
  <c r="AC72" i="2"/>
  <c r="BE72" i="2"/>
  <c r="P72" i="2"/>
  <c r="O72" i="2"/>
  <c r="N72" i="2"/>
  <c r="BA72" i="2"/>
  <c r="AQ72" i="2"/>
  <c r="Y72" i="2"/>
  <c r="L72" i="2"/>
  <c r="Z72" i="2"/>
  <c r="BN72" i="2"/>
  <c r="AV72" i="2"/>
  <c r="AR72" i="2"/>
  <c r="H72" i="2"/>
  <c r="G72" i="2"/>
  <c r="F72" i="2"/>
  <c r="AS72" i="2"/>
  <c r="AA72" i="2"/>
  <c r="I72" i="2"/>
  <c r="D72" i="2"/>
  <c r="R72" i="2"/>
  <c r="BD72" i="2"/>
  <c r="U72" i="2"/>
  <c r="BL72" i="2"/>
  <c r="BK72" i="2"/>
  <c r="BJ72" i="2"/>
  <c r="BO72" i="2"/>
  <c r="AK72" i="2"/>
  <c r="K72" i="2"/>
  <c r="BH72" i="2"/>
  <c r="Q72" i="2"/>
  <c r="J72" i="2"/>
  <c r="BB72" i="2"/>
  <c r="B72" i="2"/>
  <c r="AU72" i="2"/>
  <c r="BC72" i="2"/>
  <c r="AY72" i="2"/>
  <c r="AZ72" i="2"/>
  <c r="AT72" i="2"/>
  <c r="BF72" i="2"/>
  <c r="AN72" i="2"/>
  <c r="AM72" i="2"/>
  <c r="AL72" i="2"/>
  <c r="S72" i="2"/>
  <c r="M72" i="2"/>
  <c r="AW72" i="2"/>
  <c r="AJ72" i="2"/>
  <c r="AX72" i="2"/>
  <c r="B68" i="2"/>
  <c r="D22" i="2"/>
  <c r="AK73" i="2"/>
  <c r="AJ73" i="2"/>
  <c r="AY73" i="2"/>
  <c r="BN73" i="2"/>
  <c r="B73" i="2"/>
  <c r="BB73" i="2"/>
  <c r="AO73" i="2"/>
  <c r="AU73" i="2"/>
  <c r="BE73" i="2"/>
  <c r="AC73" i="2"/>
  <c r="AB73" i="2"/>
  <c r="AQ73" i="2"/>
  <c r="BF73" i="2"/>
  <c r="BD73" i="2"/>
  <c r="AT73" i="2"/>
  <c r="AG73" i="2"/>
  <c r="AM73" i="2"/>
  <c r="F73" i="2"/>
  <c r="U73" i="2"/>
  <c r="T73" i="2"/>
  <c r="AI73" i="2"/>
  <c r="AX73" i="2"/>
  <c r="AV73" i="2"/>
  <c r="AL73" i="2"/>
  <c r="Y73" i="2"/>
  <c r="AE73" i="2"/>
  <c r="BO73" i="2"/>
  <c r="M73" i="2"/>
  <c r="L73" i="2"/>
  <c r="AA73" i="2"/>
  <c r="AP73" i="2"/>
  <c r="AN73" i="2"/>
  <c r="AD73" i="2"/>
  <c r="Q73" i="2"/>
  <c r="W73" i="2"/>
  <c r="E73" i="2"/>
  <c r="D73" i="2"/>
  <c r="S73" i="2"/>
  <c r="AH73" i="2"/>
  <c r="AF73" i="2"/>
  <c r="V73" i="2"/>
  <c r="I73" i="2"/>
  <c r="O73" i="2"/>
  <c r="BI73" i="2"/>
  <c r="BH73" i="2"/>
  <c r="BJ73" i="2"/>
  <c r="K73" i="2"/>
  <c r="Z73" i="2"/>
  <c r="X73" i="2"/>
  <c r="BM73" i="2"/>
  <c r="N73" i="2"/>
  <c r="G73" i="2"/>
  <c r="BA73" i="2"/>
  <c r="AZ73" i="2"/>
  <c r="C73" i="2"/>
  <c r="R73" i="2"/>
  <c r="P73" i="2"/>
  <c r="BK73" i="2"/>
  <c r="AS73" i="2"/>
  <c r="AR73" i="2"/>
  <c r="BG73" i="2"/>
  <c r="BL73" i="2"/>
  <c r="J73" i="2"/>
  <c r="H73" i="2"/>
  <c r="AW73" i="2"/>
  <c r="BC73" i="2"/>
  <c r="B28" i="4"/>
  <c r="B29" i="4"/>
  <c r="B24" i="2"/>
  <c r="B20" i="2"/>
  <c r="B25" i="2"/>
  <c r="B23" i="2"/>
  <c r="B21" i="2"/>
  <c r="C24" i="2" a="1"/>
  <c r="D24" i="2" a="1"/>
  <c r="D20" i="2" a="1"/>
  <c r="C20" i="2" a="1"/>
  <c r="B59" i="2" a="1"/>
  <c r="B57" i="2" a="1"/>
  <c r="B54" i="2" a="1"/>
  <c r="B56" i="2" a="1"/>
  <c r="C25" i="2" a="1"/>
  <c r="C23" i="2" a="1"/>
  <c r="B63" i="2" a="1"/>
  <c r="B66" i="2" a="1"/>
  <c r="D23" i="2" a="1"/>
  <c r="B37" i="2" a="1"/>
  <c r="B33" i="2" a="1"/>
  <c r="B29" i="2" a="1"/>
  <c r="B28" i="2" a="1"/>
  <c r="B44" i="2" a="1"/>
  <c r="C21" i="2" a="1"/>
  <c r="B52" i="2" a="1"/>
  <c r="B30" i="2" a="1"/>
  <c r="B43" i="2" a="1"/>
  <c r="B34" i="2" a="1"/>
  <c r="B45" i="2" a="1"/>
  <c r="B41" i="2" a="1"/>
  <c r="B35" i="2" a="1"/>
  <c r="B47" i="2" a="1"/>
  <c r="B48" i="2" a="1"/>
  <c r="B49" i="2" a="1"/>
  <c r="B40" i="2" a="1"/>
  <c r="B46" i="2" a="1"/>
  <c r="B36" i="2" a="1"/>
  <c r="B31" i="2" a="1"/>
  <c r="B42" i="2" a="1"/>
  <c r="B32" i="2" a="1"/>
  <c r="D21" i="2" a="1"/>
  <c r="D21" i="2" l="1"/>
  <c r="B32" i="2"/>
  <c r="B42" i="2"/>
  <c r="B31" i="2"/>
  <c r="B36" i="2"/>
  <c r="B46" i="2"/>
  <c r="B40" i="2"/>
  <c r="B49" i="2"/>
  <c r="B48" i="2"/>
  <c r="B47" i="2"/>
  <c r="B35" i="2"/>
  <c r="B41" i="2"/>
  <c r="B45" i="2"/>
  <c r="B34" i="2"/>
  <c r="B43" i="2"/>
  <c r="B30" i="2"/>
  <c r="B52" i="2"/>
  <c r="C21" i="2"/>
  <c r="B44" i="2"/>
  <c r="B28" i="2"/>
  <c r="B29" i="2"/>
  <c r="B33" i="2"/>
  <c r="B37" i="2"/>
  <c r="D23" i="2"/>
  <c r="B66" i="2"/>
  <c r="B63" i="2"/>
  <c r="C23" i="2"/>
  <c r="C25" i="2"/>
  <c r="B56" i="2"/>
  <c r="B54" i="2"/>
  <c r="B57" i="2"/>
  <c r="B59" i="2"/>
  <c r="C20" i="2"/>
  <c r="D20" i="2"/>
  <c r="D24" i="2"/>
  <c r="C24" i="2"/>
  <c r="B38" i="2" a="1"/>
  <c r="B50" i="2" a="1"/>
  <c r="B50" i="2" l="1"/>
  <c r="B38" i="2"/>
</calcChain>
</file>

<file path=xl/sharedStrings.xml><?xml version="1.0" encoding="utf-8"?>
<sst xmlns="http://schemas.openxmlformats.org/spreadsheetml/2006/main" count="438" uniqueCount="208">
  <si>
    <t>evaluationDate</t>
  </si>
  <si>
    <t>qlSettingsSetEvaluationDate</t>
  </si>
  <si>
    <t>projection curve</t>
  </si>
  <si>
    <t>discount curve</t>
  </si>
  <si>
    <t>qlEonia</t>
  </si>
  <si>
    <t>qlEuribor</t>
  </si>
  <si>
    <t>amount</t>
  </si>
  <si>
    <t>qlSimpleCashFlow</t>
  </si>
  <si>
    <t>qlRedemption</t>
  </si>
  <si>
    <t>qlAmortizingPayment</t>
  </si>
  <si>
    <t>qlCashFlowDate</t>
  </si>
  <si>
    <t>qlCashFlowAmount</t>
  </si>
  <si>
    <t>payDate</t>
  </si>
  <si>
    <t>qlIndexedCashFlow</t>
  </si>
  <si>
    <t>qlCashFlowHasOccurred</t>
  </si>
  <si>
    <t>qlAsIndexedCashFlow</t>
  </si>
  <si>
    <t>nominal</t>
  </si>
  <si>
    <t>dividend curve</t>
  </si>
  <si>
    <t>qlEquityIndex</t>
  </si>
  <si>
    <t>EvaluationDate (Ref)</t>
  </si>
  <si>
    <t>fixing date</t>
  </si>
  <si>
    <t>start date</t>
  </si>
  <si>
    <t>end date</t>
  </si>
  <si>
    <t>pay date</t>
  </si>
  <si>
    <t>fixed rate</t>
  </si>
  <si>
    <t>daycounter</t>
  </si>
  <si>
    <t>Actual360</t>
  </si>
  <si>
    <t>qlFixedRateCoupon</t>
  </si>
  <si>
    <t>qlIborCoupon</t>
  </si>
  <si>
    <t>qlOvernightIndexedCoupon</t>
  </si>
  <si>
    <t>cap</t>
  </si>
  <si>
    <t>floor</t>
  </si>
  <si>
    <t>qlCappedFlooredIborCoupon</t>
  </si>
  <si>
    <t>qlOvernightIndexedCoupon (arithmetic)</t>
  </si>
  <si>
    <t>multiple reset schedule</t>
  </si>
  <si>
    <t>qlMultipleResetsCoupon</t>
  </si>
  <si>
    <t>tenor</t>
  </si>
  <si>
    <t>calender</t>
  </si>
  <si>
    <t>convention</t>
  </si>
  <si>
    <t>day counter</t>
  </si>
  <si>
    <t>Target</t>
  </si>
  <si>
    <t>3m</t>
  </si>
  <si>
    <t>following</t>
  </si>
  <si>
    <t>qlMakeSchedule</t>
  </si>
  <si>
    <t>ScheduleDates</t>
  </si>
  <si>
    <t>Notionals</t>
  </si>
  <si>
    <t>qlFixedRateLeg</t>
  </si>
  <si>
    <t>qlIborLeg</t>
  </si>
  <si>
    <t>qlOvernightLeg</t>
  </si>
  <si>
    <t>qlCmsLeg</t>
  </si>
  <si>
    <t>qlEuriborSwapIsdaFixA 10y</t>
  </si>
  <si>
    <t>qlEuriborSwapIsdaFixA 2y</t>
  </si>
  <si>
    <t>qlSwapSpreadIndex 10y - 2y</t>
  </si>
  <si>
    <t>qlCmsSpreadLeg</t>
  </si>
  <si>
    <t>qlCmsZeroLeg</t>
  </si>
  <si>
    <t>qlMultipleResetsLeg</t>
  </si>
  <si>
    <t>qlCashFlowsNpv (single coupon)</t>
  </si>
  <si>
    <t>qlCashFlowsBps (single coupon)</t>
  </si>
  <si>
    <t>qlCashFlowsNpv (multiple coupons)</t>
  </si>
  <si>
    <t>qlCashFlowsBps (multiple coupons)</t>
  </si>
  <si>
    <t>qlCashFlowsNpvBps</t>
  </si>
  <si>
    <t>qlCouponNominal</t>
  </si>
  <si>
    <t>qlCouponAccrualStartDate</t>
  </si>
  <si>
    <t>qlCouponAccrualEndDate</t>
  </si>
  <si>
    <t>qlCouponReferencePeriodStart</t>
  </si>
  <si>
    <t>qlCouponReferencePeriodEnd</t>
  </si>
  <si>
    <t>qlCouponExCouponDate</t>
  </si>
  <si>
    <t>qlCouponRate</t>
  </si>
  <si>
    <t>qlCouponAccrualPeriod</t>
  </si>
  <si>
    <t>qlCouponAccrualDays</t>
  </si>
  <si>
    <t>qlCouponDayCounter</t>
  </si>
  <si>
    <t>qlCouponAccruedAmount</t>
  </si>
  <si>
    <t>qlFloatingRateCouponFixingDate</t>
  </si>
  <si>
    <t>qlFloatingRateCouponFixingDays</t>
  </si>
  <si>
    <t>qlFloatingRateCouponIsInArrears</t>
  </si>
  <si>
    <t>qlFloatingRateCouponGearing</t>
  </si>
  <si>
    <t>qlFloatingRateCouponSpread</t>
  </si>
  <si>
    <t>qlFloatingRateCouponIndexFixing</t>
  </si>
  <si>
    <t>qlFloatingRateCouponAdjustedFixing</t>
  </si>
  <si>
    <t>qlFloatingRateCouponConvexityAdjustment</t>
  </si>
  <si>
    <t>qlFloatingRateCouponPrice</t>
  </si>
  <si>
    <t>qlFloatingRateCouponIndex</t>
  </si>
  <si>
    <t>qlIndexName</t>
  </si>
  <si>
    <t>qlBlackIborCouponPricer w/o vol</t>
  </si>
  <si>
    <t>qlCappedFlooredOvernightIndexedCoupon</t>
  </si>
  <si>
    <t>qlCappedFlooredCouponIsCapped</t>
  </si>
  <si>
    <t>qlCappedFlooredCouponIsFloored</t>
  </si>
  <si>
    <t>qlCappedFlooredCouponCap</t>
  </si>
  <si>
    <t>qlCappedFlooredCouponFloor</t>
  </si>
  <si>
    <t>qlCappedFlooredCouponEffectiveCap</t>
  </si>
  <si>
    <t>qlCappedFlooredCouponEffectiveFloor</t>
  </si>
  <si>
    <t>qlOvernightIndexedCouponAveragingMethod</t>
  </si>
  <si>
    <t>qlOvernightIndexedCouponCanApplyTelescopicFormula</t>
  </si>
  <si>
    <t>qlOvernightIndexedCouponApplyObservationShift</t>
  </si>
  <si>
    <t>qlOvernightIndexedCouponCompoundSpreadDaily</t>
  </si>
  <si>
    <t>qlOvernightIndexedCouponLockoutDays</t>
  </si>
  <si>
    <t>qlOvernightIndexedCouponRateComputationStartDate</t>
  </si>
  <si>
    <t>qlOvernightIndexedCouponRateComputationEndDate</t>
  </si>
  <si>
    <t>qlOvernightIndexedCouponValueDates</t>
  </si>
  <si>
    <t>qlOvernightIndexedCouponFixingDates</t>
  </si>
  <si>
    <t>qlOvernightIndexedCouponDt</t>
  </si>
  <si>
    <t>qlOvernightIndexedCouponIndexFixings</t>
  </si>
  <si>
    <t>qlOvernightIndexedCouponEffectiveIndexFixing</t>
  </si>
  <si>
    <t>qlOvernightIndexedCouponEffectiveSpread</t>
  </si>
  <si>
    <t>qlCappedFlooredOvernightIndexedCouponUnderlying</t>
  </si>
  <si>
    <t>qlCappedFlooredOvernightIndexedCouponNakedOption</t>
  </si>
  <si>
    <t>qlCappedFlooredOvernightIndexedCouponDailyCapFloor</t>
  </si>
  <si>
    <t>qlCappedFlooredOvernightIndexedCouponAveragingMethod</t>
  </si>
  <si>
    <t>qlCappedFlooredOvernightIndexedCouponCompoundSpreadDaily</t>
  </si>
  <si>
    <t>qlCappedFlooredOvernightIndexedCouponEffectiveCapletVolatility</t>
  </si>
  <si>
    <t>qlCappedFlooredOvernightIndexedCouponEffectiveFloorletVolatility</t>
  </si>
  <si>
    <t>payment_date</t>
  </si>
  <si>
    <t>start_date</t>
  </si>
  <si>
    <t>end_date</t>
  </si>
  <si>
    <t>fixing_days</t>
  </si>
  <si>
    <t>index</t>
  </si>
  <si>
    <t>gearing</t>
  </si>
  <si>
    <t>spread</t>
  </si>
  <si>
    <t>ref_period_start</t>
  </si>
  <si>
    <t>ref_period_end</t>
  </si>
  <si>
    <t>day_counter</t>
  </si>
  <si>
    <t>is_in_arrears</t>
  </si>
  <si>
    <t>ex_coupon_date,</t>
  </si>
  <si>
    <t>fixing_convention</t>
  </si>
  <si>
    <t>curve</t>
  </si>
  <si>
    <t>reference_date</t>
  </si>
  <si>
    <t>SetevaluationDate</t>
  </si>
  <si>
    <t>actual365fixed</t>
  </si>
  <si>
    <t>Following</t>
  </si>
  <si>
    <t>qlFloatingRateCouponFixingConvention</t>
  </si>
  <si>
    <t>ex_coupon_date</t>
  </si>
  <si>
    <t>qlBlackIborCouponPricer</t>
  </si>
  <si>
    <t>qlFloatingRateCouponSetPricer</t>
  </si>
  <si>
    <t>qlConstantOptionletVolatility</t>
  </si>
  <si>
    <t>overnight_index</t>
  </si>
  <si>
    <t>telescopic_value_dates</t>
  </si>
  <si>
    <t>averaging_method</t>
  </si>
  <si>
    <t>lookback_days</t>
  </si>
  <si>
    <t>lockout_days</t>
  </si>
  <si>
    <t>apply_observation_shift</t>
  </si>
  <si>
    <t>compound_spread</t>
  </si>
  <si>
    <t>rate_computation_start_date</t>
  </si>
  <si>
    <t>rate_computation_end_date</t>
  </si>
  <si>
    <t>compound</t>
  </si>
  <si>
    <t>qlBlackCompoundingOvernightIndexedCouponPricer</t>
  </si>
  <si>
    <t>swap_index</t>
  </si>
  <si>
    <t>ibor_index</t>
  </si>
  <si>
    <t>qlCmsCoupon</t>
  </si>
  <si>
    <t>swap_spread_index</t>
  </si>
  <si>
    <t>ibor_index2</t>
  </si>
  <si>
    <t>ibor_index1</t>
  </si>
  <si>
    <t>swap_index_1</t>
  </si>
  <si>
    <t>swap_index_2</t>
  </si>
  <si>
    <t>swaption_vol</t>
  </si>
  <si>
    <t>model</t>
  </si>
  <si>
    <t>mean_reversion</t>
  </si>
  <si>
    <t>Standard</t>
  </si>
  <si>
    <t>date</t>
  </si>
  <si>
    <t>value</t>
  </si>
  <si>
    <t>qlAnalyticHaganPricer</t>
  </si>
  <si>
    <t>qlNumericHaganPricer</t>
  </si>
  <si>
    <t>qlLognormalCmsSpreadPricer</t>
  </si>
  <si>
    <t>correlation</t>
  </si>
  <si>
    <t>qlCmsSpreadCouponPricerCorrelation</t>
  </si>
  <si>
    <t>qlCmsSpreadCouponPricerSetCorrelation</t>
  </si>
  <si>
    <t>qlCmsCouponPricerCorrelation</t>
  </si>
  <si>
    <t>qlCmsCouponPricerSetCorrelation</t>
  </si>
  <si>
    <t>qlIndexAddFixing</t>
  </si>
  <si>
    <t>FixedRateCoupon</t>
  </si>
  <si>
    <t>IborCoupon</t>
  </si>
  <si>
    <t>CappedFlooredCoupon</t>
  </si>
  <si>
    <t>CappedFlooredIborCoupon</t>
  </si>
  <si>
    <t>OvernightIndexedCoupon</t>
  </si>
  <si>
    <t>CappedflooredOvernightIndexedCoupon</t>
  </si>
  <si>
    <t>CmsCoupon</t>
  </si>
  <si>
    <t>CmsSpreadCoupon</t>
  </si>
  <si>
    <t>MultipleResetCoupon</t>
  </si>
  <si>
    <t>RangeAccrualFloaterCoupon</t>
  </si>
  <si>
    <t>CappedFlooredCmsCoupon</t>
  </si>
  <si>
    <t>EquityCashFlow</t>
  </si>
  <si>
    <t>IndexedCashFlow</t>
  </si>
  <si>
    <t>SimpleCashFlow</t>
  </si>
  <si>
    <t>Redemption</t>
  </si>
  <si>
    <t>AmortizingPayment</t>
  </si>
  <si>
    <t>CmsLeg</t>
  </si>
  <si>
    <t>CmsSpreadLeg</t>
  </si>
  <si>
    <t>CmsZeroLeg</t>
  </si>
  <si>
    <t>FixedRateLeg</t>
  </si>
  <si>
    <t>IborLeg</t>
  </si>
  <si>
    <t>MultipleResetsLeg</t>
  </si>
  <si>
    <t>OvernightLeg</t>
  </si>
  <si>
    <t>RangeAccrualLeg</t>
  </si>
  <si>
    <t>AnalyticHaganPricer</t>
  </si>
  <si>
    <t>Coupons</t>
  </si>
  <si>
    <t>ArithmeticAveragedOvernightIndexedCouponPricer</t>
  </si>
  <si>
    <t>BlackAveragingOvernightIndexedCouponPricer</t>
  </si>
  <si>
    <t>BlackCompoundingOvernightIndexedCouponPricer</t>
  </si>
  <si>
    <t>BlackIborCouponPricer</t>
  </si>
  <si>
    <t>CompoundingMultipleResetsPricer</t>
  </si>
  <si>
    <t>CompoundingOvernightIndexedCouponPricer</t>
  </si>
  <si>
    <t>EquityQuantoCashFlowPricer</t>
  </si>
  <si>
    <t>LognormalCmsSpreadPricer</t>
  </si>
  <si>
    <t>NumericHaganPricer</t>
  </si>
  <si>
    <t>CashFlows</t>
  </si>
  <si>
    <t>Legs</t>
  </si>
  <si>
    <t>Tabs</t>
  </si>
  <si>
    <t>Pricing Engine tested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</si>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</sst>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0" tint="-0.499984740745262"/>
      <name val="Aptos Narrow"/>
      <scheme val="minor"/>
    </font>
    <font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scheme val="minor"/>
    </font>
    <font>
      <b/>
      <sz val="1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14" fontId="0" fillId="0" borderId="0" xfId="0" applyNumberFormat="1"/>
    <xf numFmtId="1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/>
    <xf numFmtId="14" fontId="0" fillId="0" borderId="2" xfId="0" applyNumberFormat="1" applyBorder="1" applyAlignment="1">
      <alignment horizontal="left"/>
    </xf>
    <xf numFmtId="14" fontId="0" fillId="0" borderId="3" xfId="0" applyNumberFormat="1" applyBorder="1" applyAlignment="1">
      <alignment horizontal="left"/>
    </xf>
    <xf numFmtId="0" fontId="0" fillId="0" borderId="7" xfId="0" applyBorder="1"/>
    <xf numFmtId="0" fontId="0" fillId="0" borderId="0" xfId="0" applyBorder="1" applyAlignment="1">
      <alignment horizontal="left"/>
    </xf>
    <xf numFmtId="0" fontId="0" fillId="0" borderId="8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14" fontId="0" fillId="0" borderId="8" xfId="0" applyNumberFormat="1" applyBorder="1" applyAlignment="1">
      <alignment horizontal="left"/>
    </xf>
    <xf numFmtId="0" fontId="4" fillId="0" borderId="4" xfId="0" applyFont="1" applyBorder="1"/>
    <xf numFmtId="0" fontId="4" fillId="0" borderId="9" xfId="0" applyFont="1" applyBorder="1"/>
    <xf numFmtId="14" fontId="0" fillId="0" borderId="10" xfId="0" applyNumberFormat="1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4" fillId="0" borderId="7" xfId="0" applyFont="1" applyBorder="1"/>
    <xf numFmtId="0" fontId="3" fillId="0" borderId="7" xfId="0" applyFont="1" applyBorder="1"/>
    <xf numFmtId="0" fontId="5" fillId="0" borderId="7" xfId="0" applyFont="1" applyBorder="1"/>
    <xf numFmtId="0" fontId="0" fillId="0" borderId="0" xfId="0" applyNumberFormat="1" applyBorder="1" applyAlignment="1">
      <alignment horizontal="left"/>
    </xf>
    <xf numFmtId="0" fontId="2" fillId="0" borderId="7" xfId="0" applyFont="1" applyBorder="1"/>
    <xf numFmtId="0" fontId="0" fillId="0" borderId="8" xfId="0" applyNumberFormat="1" applyBorder="1" applyAlignment="1">
      <alignment horizontal="left"/>
    </xf>
    <xf numFmtId="0" fontId="5" fillId="0" borderId="1" xfId="0" applyFont="1" applyBorder="1"/>
    <xf numFmtId="0" fontId="8" fillId="0" borderId="4" xfId="0" applyFont="1" applyBorder="1"/>
    <xf numFmtId="0" fontId="0" fillId="2" borderId="0" xfId="0" applyFill="1"/>
    <xf numFmtId="0" fontId="6" fillId="0" borderId="0" xfId="0" applyFont="1"/>
    <xf numFmtId="0" fontId="7" fillId="0" borderId="7" xfId="0" applyFont="1" applyBorder="1"/>
    <xf numFmtId="0" fontId="3" fillId="0" borderId="4" xfId="0" applyFont="1" applyBorder="1"/>
    <xf numFmtId="0" fontId="0" fillId="0" borderId="0" xfId="0" applyAlignment="1">
      <alignment wrapText="1"/>
    </xf>
    <xf numFmtId="0" fontId="4" fillId="0" borderId="12" xfId="0" applyFont="1" applyBorder="1"/>
    <xf numFmtId="0" fontId="4" fillId="0" borderId="13" xfId="0" applyFont="1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0" fontId="0" fillId="0" borderId="15" xfId="0" applyBorder="1"/>
    <xf numFmtId="0" fontId="4" fillId="0" borderId="16" xfId="0" applyFont="1" applyBorder="1" applyAlignment="1">
      <alignment wrapText="1"/>
    </xf>
    <xf numFmtId="0" fontId="4" fillId="0" borderId="17" xfId="0" applyFont="1" applyBorder="1" applyAlignment="1">
      <alignment wrapText="1"/>
    </xf>
    <xf numFmtId="0" fontId="0" fillId="0" borderId="18" xfId="0" applyBorder="1"/>
    <xf numFmtId="0" fontId="0" fillId="0" borderId="19" xfId="0" applyBorder="1"/>
    <xf numFmtId="0" fontId="6" fillId="0" borderId="19" xfId="0" applyFont="1" applyBorder="1"/>
    <xf numFmtId="0" fontId="6" fillId="0" borderId="20" xfId="0" applyFont="1" applyBorder="1"/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21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7" xfId="0" applyBorder="1" applyAlignment="1">
      <alignment horizont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84EC-9A2D-4A83-BADE-B9CC686F0550}">
  <dimension ref="B1:L30"/>
  <sheetViews>
    <sheetView tabSelected="1" workbookViewId="0"/>
  </sheetViews>
  <sheetFormatPr baseColWidth="10" defaultRowHeight="14.25"/>
  <cols>
    <col min="2" max="2" width="33.75" bestFit="1" customWidth="1"/>
    <col min="3" max="11" width="18.375" style="41" customWidth="1"/>
    <col min="12" max="12" width="19.375" style="41" customWidth="1"/>
  </cols>
  <sheetData>
    <row r="1" spans="2:12" ht="15" thickBot="1"/>
    <row r="2" spans="2:12" ht="30">
      <c r="B2" s="42" t="s">
        <v>205</v>
      </c>
      <c r="C2" s="43" t="s">
        <v>206</v>
      </c>
      <c r="D2" s="44"/>
      <c r="E2" s="44"/>
      <c r="F2" s="44"/>
      <c r="G2" s="44"/>
      <c r="H2" s="44"/>
      <c r="I2" s="44"/>
      <c r="J2" s="44"/>
      <c r="K2" s="44"/>
      <c r="L2" s="45"/>
    </row>
    <row r="3" spans="2:12" ht="45.75" thickBot="1">
      <c r="B3" s="46"/>
      <c r="C3" s="47" t="s">
        <v>192</v>
      </c>
      <c r="D3" s="47" t="s">
        <v>194</v>
      </c>
      <c r="E3" s="47" t="s">
        <v>195</v>
      </c>
      <c r="F3" s="47" t="s">
        <v>196</v>
      </c>
      <c r="G3" s="47" t="s">
        <v>197</v>
      </c>
      <c r="H3" s="47" t="s">
        <v>198</v>
      </c>
      <c r="I3" s="47" t="s">
        <v>199</v>
      </c>
      <c r="J3" s="47" t="s">
        <v>200</v>
      </c>
      <c r="K3" s="47" t="s">
        <v>201</v>
      </c>
      <c r="L3" s="48" t="s">
        <v>202</v>
      </c>
    </row>
    <row r="4" spans="2:12">
      <c r="B4" s="49" t="s">
        <v>203</v>
      </c>
      <c r="C4" s="53"/>
      <c r="D4" s="54"/>
      <c r="E4" s="54"/>
      <c r="F4" s="54"/>
      <c r="G4" s="54"/>
      <c r="H4" s="54"/>
      <c r="I4" s="54"/>
      <c r="J4" s="54"/>
      <c r="K4" s="54"/>
      <c r="L4" s="55"/>
    </row>
    <row r="5" spans="2:12">
      <c r="B5" s="50" t="s">
        <v>193</v>
      </c>
      <c r="C5" s="56"/>
      <c r="D5" s="57"/>
      <c r="E5" s="57"/>
      <c r="F5" s="57"/>
      <c r="G5" s="57"/>
      <c r="H5" s="57"/>
      <c r="I5" s="57"/>
      <c r="J5" s="57"/>
      <c r="K5" s="57"/>
      <c r="L5" s="58"/>
    </row>
    <row r="6" spans="2:12">
      <c r="B6" s="50" t="s">
        <v>204</v>
      </c>
      <c r="C6" s="56"/>
      <c r="D6" s="57"/>
      <c r="E6" s="57"/>
      <c r="F6" s="57"/>
      <c r="G6" s="57"/>
      <c r="H6" s="57"/>
      <c r="I6" s="57"/>
      <c r="J6" s="57"/>
      <c r="K6" s="57"/>
      <c r="L6" s="58"/>
    </row>
    <row r="7" spans="2:12">
      <c r="B7" s="51" t="s">
        <v>168</v>
      </c>
      <c r="C7" s="56"/>
      <c r="D7" s="57"/>
      <c r="E7" s="57"/>
      <c r="F7" s="57"/>
      <c r="G7" s="57"/>
      <c r="H7" s="57"/>
      <c r="I7" s="57"/>
      <c r="J7" s="57"/>
      <c r="K7" s="57"/>
      <c r="L7" s="58"/>
    </row>
    <row r="8" spans="2:12">
      <c r="B8" s="50" t="s">
        <v>169</v>
      </c>
      <c r="C8" s="56"/>
      <c r="D8" s="57"/>
      <c r="E8" s="57"/>
      <c r="F8" s="57"/>
      <c r="G8" s="57"/>
      <c r="H8" s="57"/>
      <c r="I8" s="57"/>
      <c r="J8" s="57"/>
      <c r="K8" s="57"/>
      <c r="L8" s="58"/>
    </row>
    <row r="9" spans="2:12">
      <c r="B9" s="51" t="s">
        <v>170</v>
      </c>
      <c r="C9" s="56"/>
      <c r="D9" s="57"/>
      <c r="E9" s="57"/>
      <c r="F9" s="57"/>
      <c r="G9" s="57"/>
      <c r="H9" s="57"/>
      <c r="I9" s="57"/>
      <c r="J9" s="57"/>
      <c r="K9" s="57"/>
      <c r="L9" s="58"/>
    </row>
    <row r="10" spans="2:12">
      <c r="B10" s="50" t="s">
        <v>171</v>
      </c>
      <c r="C10" s="56"/>
      <c r="D10" s="57"/>
      <c r="E10" s="57"/>
      <c r="F10" s="57"/>
      <c r="G10" s="57" t="s">
        <v>207</v>
      </c>
      <c r="H10" s="57"/>
      <c r="I10" s="57"/>
      <c r="J10" s="57"/>
      <c r="K10" s="57"/>
      <c r="L10" s="58"/>
    </row>
    <row r="11" spans="2:12">
      <c r="B11" s="50" t="s">
        <v>172</v>
      </c>
      <c r="C11" s="56"/>
      <c r="D11" s="57"/>
      <c r="E11" s="57"/>
      <c r="F11" s="57" t="s">
        <v>207</v>
      </c>
      <c r="G11" s="57"/>
      <c r="H11" s="57"/>
      <c r="I11" s="57"/>
      <c r="J11" s="57"/>
      <c r="K11" s="57"/>
      <c r="L11" s="58"/>
    </row>
    <row r="12" spans="2:12">
      <c r="B12" s="51" t="s">
        <v>173</v>
      </c>
      <c r="C12" s="56"/>
      <c r="D12" s="57"/>
      <c r="E12" s="57"/>
      <c r="F12" s="57"/>
      <c r="G12" s="57"/>
      <c r="H12" s="57"/>
      <c r="I12" s="57"/>
      <c r="J12" s="57"/>
      <c r="K12" s="57"/>
      <c r="L12" s="58"/>
    </row>
    <row r="13" spans="2:12">
      <c r="B13" s="50" t="s">
        <v>174</v>
      </c>
      <c r="C13" s="56" t="s">
        <v>207</v>
      </c>
      <c r="D13" s="57"/>
      <c r="E13" s="57"/>
      <c r="F13" s="57"/>
      <c r="G13" s="57"/>
      <c r="H13" s="57"/>
      <c r="I13" s="57"/>
      <c r="J13" s="57"/>
      <c r="K13" s="57"/>
      <c r="L13" s="58"/>
    </row>
    <row r="14" spans="2:12">
      <c r="B14" s="51" t="s">
        <v>178</v>
      </c>
      <c r="C14" s="56"/>
      <c r="D14" s="57"/>
      <c r="E14" s="57"/>
      <c r="F14" s="57"/>
      <c r="G14" s="57"/>
      <c r="H14" s="57"/>
      <c r="I14" s="57"/>
      <c r="J14" s="57"/>
      <c r="K14" s="57"/>
      <c r="L14" s="58"/>
    </row>
    <row r="15" spans="2:12">
      <c r="B15" s="50" t="s">
        <v>175</v>
      </c>
      <c r="C15" s="56"/>
      <c r="D15" s="57"/>
      <c r="E15" s="57"/>
      <c r="F15" s="57"/>
      <c r="G15" s="57"/>
      <c r="H15" s="57"/>
      <c r="I15" s="57"/>
      <c r="J15" s="57"/>
      <c r="K15" s="57" t="s">
        <v>207</v>
      </c>
      <c r="L15" s="58"/>
    </row>
    <row r="16" spans="2:12">
      <c r="B16" s="51" t="s">
        <v>176</v>
      </c>
      <c r="C16" s="56"/>
      <c r="D16" s="57"/>
      <c r="E16" s="57"/>
      <c r="F16" s="57"/>
      <c r="G16" s="57"/>
      <c r="H16" s="57"/>
      <c r="I16" s="57"/>
      <c r="J16" s="57"/>
      <c r="K16" s="57"/>
      <c r="L16" s="58"/>
    </row>
    <row r="17" spans="2:12">
      <c r="B17" s="51" t="s">
        <v>177</v>
      </c>
      <c r="C17" s="56"/>
      <c r="D17" s="57"/>
      <c r="E17" s="57"/>
      <c r="F17" s="57"/>
      <c r="G17" s="57"/>
      <c r="H17" s="57"/>
      <c r="I17" s="57"/>
      <c r="J17" s="57"/>
      <c r="K17" s="57"/>
      <c r="L17" s="58"/>
    </row>
    <row r="18" spans="2:12">
      <c r="B18" s="51" t="s">
        <v>179</v>
      </c>
      <c r="C18" s="56"/>
      <c r="D18" s="57"/>
      <c r="E18" s="57"/>
      <c r="F18" s="57"/>
      <c r="G18" s="57"/>
      <c r="H18" s="57"/>
      <c r="I18" s="57"/>
      <c r="J18" s="57"/>
      <c r="K18" s="57"/>
      <c r="L18" s="58"/>
    </row>
    <row r="19" spans="2:12">
      <c r="B19" s="51" t="s">
        <v>180</v>
      </c>
      <c r="C19" s="56"/>
      <c r="D19" s="57"/>
      <c r="E19" s="57"/>
      <c r="F19" s="57"/>
      <c r="G19" s="57"/>
      <c r="H19" s="57"/>
      <c r="I19" s="57"/>
      <c r="J19" s="57"/>
      <c r="K19" s="57"/>
      <c r="L19" s="58"/>
    </row>
    <row r="20" spans="2:12">
      <c r="B20" s="51" t="s">
        <v>181</v>
      </c>
      <c r="C20" s="56"/>
      <c r="D20" s="57"/>
      <c r="E20" s="57"/>
      <c r="F20" s="57"/>
      <c r="G20" s="57"/>
      <c r="H20" s="57"/>
      <c r="I20" s="57"/>
      <c r="J20" s="57"/>
      <c r="K20" s="57"/>
      <c r="L20" s="58"/>
    </row>
    <row r="21" spans="2:12">
      <c r="B21" s="51" t="s">
        <v>182</v>
      </c>
      <c r="C21" s="56"/>
      <c r="D21" s="57"/>
      <c r="E21" s="57"/>
      <c r="F21" s="57"/>
      <c r="G21" s="57"/>
      <c r="H21" s="57"/>
      <c r="I21" s="57"/>
      <c r="J21" s="57"/>
      <c r="K21" s="57"/>
      <c r="L21" s="58"/>
    </row>
    <row r="22" spans="2:12">
      <c r="B22" s="51" t="s">
        <v>183</v>
      </c>
      <c r="C22" s="56"/>
      <c r="D22" s="57"/>
      <c r="E22" s="57"/>
      <c r="F22" s="57"/>
      <c r="G22" s="57"/>
      <c r="H22" s="57"/>
      <c r="I22" s="57"/>
      <c r="J22" s="57"/>
      <c r="K22" s="57"/>
      <c r="L22" s="58"/>
    </row>
    <row r="23" spans="2:12">
      <c r="B23" s="51" t="s">
        <v>184</v>
      </c>
      <c r="C23" s="56"/>
      <c r="D23" s="57"/>
      <c r="E23" s="57"/>
      <c r="F23" s="57"/>
      <c r="G23" s="57"/>
      <c r="H23" s="57"/>
      <c r="I23" s="57"/>
      <c r="J23" s="57"/>
      <c r="K23" s="57"/>
      <c r="L23" s="58"/>
    </row>
    <row r="24" spans="2:12">
      <c r="B24" s="51" t="s">
        <v>185</v>
      </c>
      <c r="C24" s="56"/>
      <c r="D24" s="57"/>
      <c r="E24" s="57"/>
      <c r="F24" s="57"/>
      <c r="G24" s="57"/>
      <c r="H24" s="57"/>
      <c r="I24" s="57"/>
      <c r="J24" s="57"/>
      <c r="K24" s="57"/>
      <c r="L24" s="58"/>
    </row>
    <row r="25" spans="2:12">
      <c r="B25" s="51" t="s">
        <v>186</v>
      </c>
      <c r="C25" s="56"/>
      <c r="D25" s="57"/>
      <c r="E25" s="57"/>
      <c r="F25" s="57"/>
      <c r="G25" s="57"/>
      <c r="H25" s="57"/>
      <c r="I25" s="57"/>
      <c r="J25" s="57"/>
      <c r="K25" s="57"/>
      <c r="L25" s="58"/>
    </row>
    <row r="26" spans="2:12">
      <c r="B26" s="51" t="s">
        <v>187</v>
      </c>
      <c r="C26" s="56"/>
      <c r="D26" s="57"/>
      <c r="E26" s="57"/>
      <c r="F26" s="57"/>
      <c r="G26" s="57"/>
      <c r="H26" s="57"/>
      <c r="I26" s="57"/>
      <c r="J26" s="57"/>
      <c r="K26" s="57"/>
      <c r="L26" s="58"/>
    </row>
    <row r="27" spans="2:12">
      <c r="B27" s="51" t="s">
        <v>188</v>
      </c>
      <c r="C27" s="56"/>
      <c r="D27" s="57"/>
      <c r="E27" s="57"/>
      <c r="F27" s="57"/>
      <c r="G27" s="57"/>
      <c r="H27" s="57"/>
      <c r="I27" s="57"/>
      <c r="J27" s="57"/>
      <c r="K27" s="57"/>
      <c r="L27" s="58"/>
    </row>
    <row r="28" spans="2:12">
      <c r="B28" s="51" t="s">
        <v>189</v>
      </c>
      <c r="C28" s="56"/>
      <c r="D28" s="57"/>
      <c r="E28" s="57"/>
      <c r="F28" s="57"/>
      <c r="G28" s="57"/>
      <c r="H28" s="57"/>
      <c r="I28" s="57"/>
      <c r="J28" s="57"/>
      <c r="K28" s="57"/>
      <c r="L28" s="58"/>
    </row>
    <row r="29" spans="2:12">
      <c r="B29" s="51" t="s">
        <v>190</v>
      </c>
      <c r="C29" s="56"/>
      <c r="D29" s="57"/>
      <c r="E29" s="57"/>
      <c r="F29" s="57"/>
      <c r="G29" s="57"/>
      <c r="H29" s="57"/>
      <c r="I29" s="57"/>
      <c r="J29" s="57"/>
      <c r="K29" s="57"/>
      <c r="L29" s="58"/>
    </row>
    <row r="30" spans="2:12" ht="15" thickBot="1">
      <c r="B30" s="52" t="s">
        <v>191</v>
      </c>
      <c r="C30" s="59"/>
      <c r="D30" s="60"/>
      <c r="E30" s="60"/>
      <c r="F30" s="60"/>
      <c r="G30" s="60"/>
      <c r="H30" s="60"/>
      <c r="I30" s="60"/>
      <c r="J30" s="60"/>
      <c r="K30" s="60"/>
      <c r="L30" s="61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A8B2-F254-4D98-B6A0-E677E4F5C119}">
  <dimension ref="A1:B2"/>
  <sheetViews>
    <sheetView workbookViewId="0">
      <selection activeCell="A3" sqref="A3"/>
    </sheetView>
  </sheetViews>
  <sheetFormatPr baseColWidth="10" defaultColWidth="9" defaultRowHeight="14.25"/>
  <cols>
    <col min="1" max="1" width="25.25" bestFit="1" customWidth="1"/>
    <col min="2" max="2" width="17.125" customWidth="1"/>
  </cols>
  <sheetData>
    <row r="1" spans="1:2">
      <c r="A1" t="s">
        <v>0</v>
      </c>
      <c r="B1" s="1">
        <v>46146</v>
      </c>
    </row>
    <row r="2" spans="1:2" ht="15">
      <c r="A2" s="3" t="s">
        <v>1</v>
      </c>
      <c r="B2" s="4">
        <f t="array" ref="B2">_xll.qlSettingsSetEvaluationDate(B1)</f>
        <v>46146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5C3A2-660E-4D76-B179-F0DF6BFBAF45}">
  <dimension ref="A1:H15"/>
  <sheetViews>
    <sheetView workbookViewId="0">
      <selection activeCell="B12" sqref="B12"/>
    </sheetView>
  </sheetViews>
  <sheetFormatPr baseColWidth="10" defaultColWidth="9" defaultRowHeight="14.25"/>
  <cols>
    <col min="1" max="1" width="25.125" customWidth="1"/>
    <col min="2" max="2" width="60.5" bestFit="1" customWidth="1"/>
    <col min="3" max="3" width="25.5" customWidth="1"/>
    <col min="4" max="4" width="18.75" customWidth="1"/>
    <col min="5" max="5" width="24.875" customWidth="1"/>
  </cols>
  <sheetData>
    <row r="1" spans="1:8">
      <c r="A1" t="s">
        <v>19</v>
      </c>
      <c r="B1" s="1">
        <f>EvaluationDate!B2</f>
        <v>46146</v>
      </c>
    </row>
    <row r="3" spans="1:8">
      <c r="A3" t="s">
        <v>3</v>
      </c>
      <c r="B3" t="str">
        <f>_xll.qlFlatForward(B1,0.03,"actual365fixed","Continuous")</f>
        <v>欣[test_cashflows.xlsx]CashFlows!R3C2YieldTermStructureHandle,A</v>
      </c>
    </row>
    <row r="4" spans="1:8">
      <c r="A4" t="s">
        <v>17</v>
      </c>
      <c r="B4" t="str">
        <f>_xll.qlFlatForward(B1,0.02,"actual365fixed","Continuous")</f>
        <v>欣[test_cashflows.xlsx]CashFlows!R4C2YieldTermStructureHandle,A</v>
      </c>
    </row>
    <row r="5" spans="1:8">
      <c r="A5" t="s">
        <v>18</v>
      </c>
      <c r="B5" t="str">
        <f t="array" ref="B5">_xll.qlEquityIndex("MyIndex","NullCalendar","EUR",100,B3,B4)</f>
        <v>欣[test_cashflows.xlsx]CashFlows!R5C2EquityIndex,A</v>
      </c>
    </row>
    <row r="7" spans="1:8">
      <c r="A7" t="s">
        <v>12</v>
      </c>
      <c r="B7" s="1">
        <f>B1+365</f>
        <v>46511</v>
      </c>
    </row>
    <row r="8" spans="1:8">
      <c r="A8" t="s">
        <v>6</v>
      </c>
      <c r="B8">
        <v>100</v>
      </c>
    </row>
    <row r="9" spans="1:8">
      <c r="B9" s="1"/>
    </row>
    <row r="10" spans="1:8">
      <c r="C10" t="s">
        <v>10</v>
      </c>
      <c r="D10" t="s">
        <v>11</v>
      </c>
      <c r="E10" t="s">
        <v>14</v>
      </c>
    </row>
    <row r="11" spans="1:8">
      <c r="A11" t="s">
        <v>7</v>
      </c>
      <c r="B11" t="str">
        <f t="array" ref="B11">_xll.qlSimpleCashFlow(B8,B7)</f>
        <v>欣[test_cashflows.xlsx]CashFlows!R11C2SimpleCashFlow,A</v>
      </c>
      <c r="C11" s="1">
        <f t="array" ref="C11">_xll.qlCashFlowDate(B11)</f>
        <v>46511</v>
      </c>
      <c r="D11">
        <f t="array" ref="D11">_xll.qlCashFlowAmount(B11)</f>
        <v>100</v>
      </c>
      <c r="E11" t="b">
        <f t="array" ref="E11">_xll.qlCashFlowHasOccurred(B11)</f>
        <v>0</v>
      </c>
    </row>
    <row r="12" spans="1:8">
      <c r="A12" t="s">
        <v>8</v>
      </c>
      <c r="B12" t="str">
        <f t="array" ref="B12">_xll.qlRedemption(B8,B7)</f>
        <v>欣[test_cashflows.xlsx]CashFlows!R12C2Redemption,A</v>
      </c>
      <c r="C12" s="1">
        <f t="array" ref="C12">_xll.qlCashFlowDate(B12)</f>
        <v>46511</v>
      </c>
      <c r="D12">
        <f t="array" ref="D12">_xll.qlCashFlowAmount(B12)</f>
        <v>100</v>
      </c>
      <c r="E12" t="b">
        <f t="array" ref="E12">_xll.qlCashFlowHasOccurred(B12)</f>
        <v>0</v>
      </c>
    </row>
    <row r="13" spans="1:8">
      <c r="A13" t="s">
        <v>9</v>
      </c>
      <c r="B13" t="str">
        <f t="array" ref="B13">_xll.qlAmortizingPayment(B8,B7)</f>
        <v>欣[test_cashflows.xlsx]CashFlows!R13C2AmortizingPayment,A</v>
      </c>
      <c r="C13" s="1">
        <f t="array" ref="C13">_xll.qlCashFlowDate(B13)</f>
        <v>46511</v>
      </c>
      <c r="D13">
        <f t="array" ref="D13">_xll.qlCashFlowAmount(B13)</f>
        <v>100</v>
      </c>
      <c r="E13" t="b">
        <f t="array" ref="E13">_xll.qlCashFlowHasOccurred(B13)</f>
        <v>0</v>
      </c>
    </row>
    <row r="14" spans="1:8">
      <c r="A14" t="s">
        <v>13</v>
      </c>
      <c r="B14" t="str">
        <f t="array" ref="B14">_xll.qlIndexedCashFlow(B8,B5,B7-180,B7,B7)</f>
        <v>欣[test_cashflows.xlsx]CashFlows!R14C2IndexedCashFlow,A</v>
      </c>
      <c r="C14" s="1">
        <f t="array" ref="C14">_xll.qlCashFlowDate(B14)</f>
        <v>46511</v>
      </c>
      <c r="D14" s="2">
        <f t="array" ref="D14">_xll.qlCashFlowAmount(B14)</f>
        <v>100.49436867427295</v>
      </c>
      <c r="E14" t="b">
        <f t="array" ref="E14">_xll.qlCashFlowHasOccurred(B14)</f>
        <v>0</v>
      </c>
      <c r="H14" s="2"/>
    </row>
    <row r="15" spans="1:8">
      <c r="A15" t="s">
        <v>15</v>
      </c>
      <c r="B15" t="str">
        <f t="array" ref="B15">_xll.qlAsIndexedCashFlow(B14)</f>
        <v>欣[test_cashflows.xlsx]CashFlows!R15C2IndexedCashFlow,A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6594-2B3F-411B-9C55-7B2A9E18A8AB}">
  <dimension ref="A1:BP83"/>
  <sheetViews>
    <sheetView zoomScale="85" zoomScaleNormal="85" workbookViewId="0"/>
  </sheetViews>
  <sheetFormatPr baseColWidth="10" defaultColWidth="9" defaultRowHeight="14.25"/>
  <cols>
    <col min="1" max="1" width="46.625" bestFit="1" customWidth="1"/>
    <col min="2" max="2" width="69.5" bestFit="1" customWidth="1"/>
    <col min="3" max="3" width="15.125" customWidth="1"/>
    <col min="4" max="68" width="10.125" bestFit="1" customWidth="1"/>
  </cols>
  <sheetData>
    <row r="1" spans="1:2">
      <c r="A1" t="s">
        <v>19</v>
      </c>
      <c r="B1" s="1">
        <f>EvaluationDate!B2</f>
        <v>46146</v>
      </c>
    </row>
    <row r="3" spans="1:2">
      <c r="A3" t="s">
        <v>2</v>
      </c>
      <c r="B3" t="str">
        <f>_xll.qlFlatForward(B1,0.03,"actual365fixed","Continuous")</f>
        <v>欣[test_cashflows.xlsx]Coupons!R3C2YieldTermStructureHandle,A</v>
      </c>
    </row>
    <row r="5" spans="1:2">
      <c r="A5" t="s">
        <v>4</v>
      </c>
      <c r="B5" t="str">
        <f t="array" ref="B5">_xll.qlEonia(B3)</f>
        <v>欣[test_cashflows.xlsx]Coupons!R5C2Eonia,A</v>
      </c>
    </row>
    <row r="6" spans="1:2">
      <c r="A6" t="s">
        <v>5</v>
      </c>
      <c r="B6" t="str">
        <f t="array" ref="B6">_xll.qlEuribor("3m",B3)</f>
        <v>欣[test_cashflows.xlsx]Coupons!R6C2Euribor,A</v>
      </c>
    </row>
    <row r="8" spans="1:2">
      <c r="A8" t="s">
        <v>16</v>
      </c>
      <c r="B8">
        <v>100</v>
      </c>
    </row>
    <row r="9" spans="1:2">
      <c r="A9" t="s">
        <v>24</v>
      </c>
      <c r="B9">
        <v>0.03</v>
      </c>
    </row>
    <row r="10" spans="1:2">
      <c r="A10" t="s">
        <v>25</v>
      </c>
      <c r="B10" t="s">
        <v>26</v>
      </c>
    </row>
    <row r="11" spans="1:2">
      <c r="A11" t="s">
        <v>30</v>
      </c>
      <c r="B11">
        <v>0.05</v>
      </c>
    </row>
    <row r="12" spans="1:2">
      <c r="A12" t="s">
        <v>31</v>
      </c>
      <c r="B12">
        <v>0.01</v>
      </c>
    </row>
    <row r="14" spans="1:2">
      <c r="A14" t="s">
        <v>20</v>
      </c>
      <c r="B14" s="1">
        <f t="array" ref="B14">_xll.qlCalendarAdvance2("Target",B1,3,"Months","Following")</f>
        <v>46238</v>
      </c>
    </row>
    <row r="15" spans="1:2">
      <c r="A15" t="s">
        <v>21</v>
      </c>
      <c r="B15" s="1">
        <f t="array" ref="B15">_xll.qlInterestRateIndexValueDate(B6,B14)</f>
        <v>46240</v>
      </c>
    </row>
    <row r="16" spans="1:2">
      <c r="A16" t="s">
        <v>22</v>
      </c>
      <c r="B16" s="1">
        <f t="array" ref="B16">_xll.qlInterestRateIndexMaturityDate(B6,B15)</f>
        <v>46332</v>
      </c>
    </row>
    <row r="17" spans="1:4">
      <c r="A17" t="s">
        <v>23</v>
      </c>
      <c r="B17" s="1">
        <f>B16</f>
        <v>46332</v>
      </c>
    </row>
    <row r="18" spans="1:4">
      <c r="A18" t="s">
        <v>34</v>
      </c>
      <c r="B18" s="1" t="str">
        <f t="array" ref="B18">_xll.qlMakeSchedule(B15,B16,"1m",,"Target","following")</f>
        <v>欣[test_cashflows.xlsx]Coupons!R18C2Schedule,A</v>
      </c>
    </row>
    <row r="20" spans="1:4">
      <c r="A20" t="s">
        <v>27</v>
      </c>
      <c r="B20" t="str">
        <f t="array" ref="B20">_xll.qlFixedRateCoupon(B17,B8,B9,B10,B15,B16)</f>
        <v>欣[test_cashflows.xlsx]Coupons!R20C2FixedRateCoupon,A</v>
      </c>
      <c r="C20" s="1">
        <f t="array" ref="C20">_xll.qlCashFlowDate(B20)</f>
        <v>46332</v>
      </c>
      <c r="D20">
        <f t="array" ref="D20">_xll.qlCashFlowAmount(B20)</f>
        <v>0.76666666666667105</v>
      </c>
    </row>
    <row r="21" spans="1:4">
      <c r="A21" t="s">
        <v>28</v>
      </c>
      <c r="B21" t="str">
        <f t="array" ref="B21">_xll.qlIborCoupon(B17,B8,B15,B16,_xll.qlInterestRateIndexFixingDays(B6),B6)</f>
        <v>欣[test_cashflows.xlsx]Coupons!R21C2IborCoupon,A</v>
      </c>
      <c r="C21" s="1">
        <f t="array" ref="C21">_xll.qlCashFlowDate(B21)</f>
        <v>46332</v>
      </c>
      <c r="D21">
        <f t="array" ref="D21">_xll.qlCashFlowAmount(B21)</f>
        <v>0.75903052613170985</v>
      </c>
    </row>
    <row r="22" spans="1:4">
      <c r="A22" t="s">
        <v>29</v>
      </c>
      <c r="B22" s="6" t="str">
        <f>_xll.qlOvernightIndexedCoupon(B17,B8,B15,B16,B5)</f>
        <v>欣[test_cashflows.xlsx]Coupons!R22C2OvernightIndexedCoupon,A</v>
      </c>
      <c r="C22" s="1">
        <f t="array" ref="C22">_xll.qlCashFlowDate(B22)</f>
        <v>46332</v>
      </c>
      <c r="D22">
        <f t="array" ref="D22">_xll.qlCashFlowAmount(B22)</f>
        <v>0.75903052613170985</v>
      </c>
    </row>
    <row r="23" spans="1:4">
      <c r="A23" t="s">
        <v>33</v>
      </c>
      <c r="B23" s="6" t="str">
        <f t="array" ref="B23">_xll.qlOvernightIndexedCoupon(B17,B8,B15,B16,B5,,,,,,,"Simple")</f>
        <v>欣[test_cashflows.xlsx]Coupons!R23C2OvernightIndexedCoupon,A</v>
      </c>
      <c r="C23" s="1">
        <f t="array" ref="C23">_xll.qlCashFlowDate(B23)</f>
        <v>46332</v>
      </c>
      <c r="D23">
        <f t="array" ref="D23">_xll.qlCashFlowAmount(B23)</f>
        <v>0.75622180895558166</v>
      </c>
    </row>
    <row r="24" spans="1:4">
      <c r="A24" t="s">
        <v>35</v>
      </c>
      <c r="B24" s="6" t="str">
        <f t="array" ref="B24">_xll.qlMultipleResetsCoupon(B17,B8,B18,2,B6)</f>
        <v>欣[test_cashflows.xlsx]Coupons!R24C2MultipleResetsCoupon,A</v>
      </c>
      <c r="C24" s="1">
        <f t="array" ref="C24">_xll.qlCashFlowDate(B24)</f>
        <v>46332</v>
      </c>
      <c r="D24">
        <f t="array" ref="D24">_xll.qlCashFlowAmount(B24)</f>
        <v>0.75902068142262313</v>
      </c>
    </row>
    <row r="25" spans="1:4">
      <c r="A25" t="s">
        <v>32</v>
      </c>
      <c r="B25" t="str">
        <f t="array" ref="B25">_xll.qlCappedFlooredIborCoupon(B17,B8,B15,B16,2,B6,,,B11)</f>
        <v>欣[test_cashflows.xlsx]Coupons!R25C2CappedFlooredIborCoupon,A</v>
      </c>
      <c r="C25" s="1">
        <f t="array" ref="C25">_xll.qlCashFlowDate(B25)</f>
        <v>46332</v>
      </c>
    </row>
    <row r="26" spans="1:4">
      <c r="A26" t="s">
        <v>84</v>
      </c>
      <c r="B26" t="str">
        <f>_xll.qlCappedFlooredOvernightIndexedCoupon(B22,0.05,0.01)</f>
        <v>欣[test_cashflows.xlsx]Coupons!R26C2CappedFlooredOvernightIndexedCoupon,A</v>
      </c>
      <c r="C26" s="1">
        <f t="array" ref="C26">_xll.qlCashFlowDate(B26)</f>
        <v>46332</v>
      </c>
    </row>
    <row r="28" spans="1:4">
      <c r="A28" t="s">
        <v>61</v>
      </c>
      <c r="B28">
        <f t="array" ref="B28">_xll.qlCouponNominal(B21)</f>
        <v>100</v>
      </c>
    </row>
    <row r="29" spans="1:4">
      <c r="A29" t="s">
        <v>62</v>
      </c>
      <c r="B29" s="1">
        <f t="array" ref="B29">_xll.qlCouponAccrualStartDate(B21)</f>
        <v>46240</v>
      </c>
    </row>
    <row r="30" spans="1:4">
      <c r="A30" t="s">
        <v>63</v>
      </c>
      <c r="B30" s="1">
        <f t="array" ref="B30">_xll.qlCouponAccrualEndDate(B21)</f>
        <v>46332</v>
      </c>
    </row>
    <row r="31" spans="1:4">
      <c r="A31" t="s">
        <v>64</v>
      </c>
      <c r="B31" s="1">
        <f t="array" ref="B31">_xll.qlCouponReferencePeriodStart(B21)</f>
        <v>46240</v>
      </c>
    </row>
    <row r="32" spans="1:4">
      <c r="A32" t="s">
        <v>65</v>
      </c>
      <c r="B32" s="1">
        <f t="array" ref="B32">_xll.qlCouponReferencePeriodEnd(B21)</f>
        <v>46332</v>
      </c>
    </row>
    <row r="33" spans="1:2">
      <c r="A33" t="s">
        <v>66</v>
      </c>
      <c r="B33">
        <f t="array" ref="B33">_xll.qlCouponExCouponDate(B21)</f>
        <v>0</v>
      </c>
    </row>
    <row r="34" spans="1:2">
      <c r="A34" t="s">
        <v>67</v>
      </c>
      <c r="B34">
        <f t="array" ref="B34">_xll.qlCouponRate(B21)</f>
        <v>2.9701194500806039E-2</v>
      </c>
    </row>
    <row r="35" spans="1:2">
      <c r="A35" t="s">
        <v>68</v>
      </c>
      <c r="B35">
        <f t="array" ref="B35">_xll.qlCouponAccrualPeriod(B21)</f>
        <v>0.25555555555555554</v>
      </c>
    </row>
    <row r="36" spans="1:2">
      <c r="A36" t="s">
        <v>69</v>
      </c>
      <c r="B36">
        <f t="array" ref="B36">_xll.qlCouponAccrualDays(B21)</f>
        <v>92</v>
      </c>
    </row>
    <row r="37" spans="1:2">
      <c r="A37" t="s">
        <v>70</v>
      </c>
      <c r="B37" t="str">
        <f t="array" ref="B37">_xll.qlCouponDayCounter(B21)</f>
        <v>Actual/360</v>
      </c>
    </row>
    <row r="38" spans="1:2">
      <c r="A38" t="s">
        <v>71</v>
      </c>
      <c r="B38">
        <f t="array" ref="B38">_xll.qlCouponAccruedAmount(B21,B29+10)</f>
        <v>8.2503318057794553E-2</v>
      </c>
    </row>
    <row r="40" spans="1:2">
      <c r="A40" t="s">
        <v>72</v>
      </c>
      <c r="B40" s="1">
        <f t="array" ref="B40">_xll.qlFloatingRateCouponFixingDate(B21)</f>
        <v>46238</v>
      </c>
    </row>
    <row r="41" spans="1:2">
      <c r="A41" t="s">
        <v>73</v>
      </c>
      <c r="B41">
        <f t="array" ref="B41">_xll.qlFloatingRateCouponFixingDays(B21)</f>
        <v>2</v>
      </c>
    </row>
    <row r="42" spans="1:2">
      <c r="A42" t="s">
        <v>74</v>
      </c>
      <c r="B42" t="b">
        <f t="array" ref="B42">_xll.qlFloatingRateCouponIsInArrears(B21)</f>
        <v>0</v>
      </c>
    </row>
    <row r="43" spans="1:2">
      <c r="A43" t="s">
        <v>75</v>
      </c>
      <c r="B43">
        <f t="array" ref="B43">_xll.qlFloatingRateCouponGearing(B21)</f>
        <v>1</v>
      </c>
    </row>
    <row r="44" spans="1:2">
      <c r="A44" t="s">
        <v>76</v>
      </c>
      <c r="B44">
        <f t="array" ref="B44">_xll.qlFloatingRateCouponSpread(B21)</f>
        <v>0</v>
      </c>
    </row>
    <row r="45" spans="1:2">
      <c r="A45" t="s">
        <v>77</v>
      </c>
      <c r="B45">
        <f t="array" ref="B45">_xll.qlFloatingRateCouponIndexFixing(B21)</f>
        <v>2.9701194500806039E-2</v>
      </c>
    </row>
    <row r="46" spans="1:2">
      <c r="A46" t="s">
        <v>78</v>
      </c>
      <c r="B46">
        <f t="array" ref="B46">_xll.qlFloatingRateCouponAdjustedFixing(B21)</f>
        <v>2.9701194500806039E-2</v>
      </c>
    </row>
    <row r="47" spans="1:2">
      <c r="A47" t="s">
        <v>79</v>
      </c>
      <c r="B47">
        <f t="array" ref="B47">_xll.qlFloatingRateCouponConvexityAdjustment(B21)</f>
        <v>0</v>
      </c>
    </row>
    <row r="48" spans="1:2">
      <c r="A48" t="s">
        <v>80</v>
      </c>
      <c r="B48">
        <f t="array" ref="B48">_xll.qlFloatingRateCouponPrice(B21,B3)</f>
        <v>0.74751496433099018</v>
      </c>
    </row>
    <row r="49" spans="1:2">
      <c r="A49" t="s">
        <v>81</v>
      </c>
      <c r="B49" t="str">
        <f t="array" ref="B49">_xll.qlFloatingRateCouponIndex(B21)</f>
        <v>欣[test_cashflows.xlsx]Coupons!R49C2InterestRateIndex,A</v>
      </c>
    </row>
    <row r="50" spans="1:2">
      <c r="A50" t="s">
        <v>82</v>
      </c>
      <c r="B50" t="str">
        <f t="array" ref="B50">_xll.qlIndexName(B49)</f>
        <v>Euribor3M Actual/360</v>
      </c>
    </row>
    <row r="51" spans="1:2">
      <c r="A51" t="s">
        <v>83</v>
      </c>
      <c r="B51" t="str">
        <f t="array" ref="B51">_xll.qlBlackIborCouponPricer()</f>
        <v>欣[test_cashflows.xlsx]Coupons!R51C2BlackIborCouponPricer,A</v>
      </c>
    </row>
    <row r="52" spans="1:2">
      <c r="B52" t="b">
        <f t="array" ref="B52">_xll.qlFloatingRateCouponSetPricer(B21,B51)</f>
        <v>1</v>
      </c>
    </row>
    <row r="54" spans="1:2">
      <c r="A54" t="s">
        <v>85</v>
      </c>
      <c r="B54" t="b">
        <f t="array" ref="B54">_xll.qlCappedFlooredCouponIsCapped(B25)</f>
        <v>1</v>
      </c>
    </row>
    <row r="55" spans="1:2">
      <c r="A55" t="s">
        <v>85</v>
      </c>
      <c r="B55" t="b">
        <f t="array" ref="B55">_xll.qlCappedFlooredCouponIsCapped(B26)</f>
        <v>1</v>
      </c>
    </row>
    <row r="56" spans="1:2">
      <c r="A56" t="s">
        <v>86</v>
      </c>
      <c r="B56" t="b">
        <f t="array" ref="B56">_xll.qlCappedFlooredCouponIsFloored(B25)</f>
        <v>0</v>
      </c>
    </row>
    <row r="57" spans="1:2">
      <c r="A57" t="s">
        <v>87</v>
      </c>
      <c r="B57">
        <f t="array" ref="B57">_xll.qlCappedFlooredCouponCap(B25)</f>
        <v>0.05</v>
      </c>
    </row>
    <row r="58" spans="1:2">
      <c r="A58" t="s">
        <v>88</v>
      </c>
      <c r="B58">
        <f t="array" ref="B58">_xll.qlCappedFlooredCouponFloor(B26)</f>
        <v>0.01</v>
      </c>
    </row>
    <row r="59" spans="1:2">
      <c r="A59" t="s">
        <v>89</v>
      </c>
      <c r="B59">
        <f t="array" ref="B59">_xll.qlCappedFlooredCouponEffectiveCap(B25)</f>
        <v>0.05</v>
      </c>
    </row>
    <row r="60" spans="1:2">
      <c r="A60" t="s">
        <v>90</v>
      </c>
      <c r="B60">
        <f t="array" ref="B60">_xll.qlCappedFlooredCouponEffectiveFloor(B26)</f>
        <v>0.01</v>
      </c>
    </row>
    <row r="62" spans="1:2">
      <c r="A62" t="s">
        <v>91</v>
      </c>
      <c r="B62" t="str">
        <f t="array" ref="B62">_xll.qlOvernightIndexedCouponAveragingMethod(B22)</f>
        <v>COMPOUND</v>
      </c>
    </row>
    <row r="63" spans="1:2">
      <c r="A63" t="s">
        <v>91</v>
      </c>
      <c r="B63" t="str">
        <f t="array" ref="B63">_xll.qlOvernightIndexedCouponAveragingMethod(B23)</f>
        <v>SIMPLE</v>
      </c>
    </row>
    <row r="64" spans="1:2">
      <c r="A64" t="s">
        <v>92</v>
      </c>
      <c r="B64" t="b">
        <f t="array" ref="B64">_xll.qlOvernightIndexedCouponCanApplyTelescopicFormula(B22)</f>
        <v>1</v>
      </c>
    </row>
    <row r="65" spans="1:68">
      <c r="A65" t="s">
        <v>93</v>
      </c>
      <c r="B65" t="b">
        <f t="array" ref="B65">_xll.qlOvernightIndexedCouponApplyObservationShift(B22)</f>
        <v>0</v>
      </c>
    </row>
    <row r="66" spans="1:68">
      <c r="A66" t="s">
        <v>94</v>
      </c>
      <c r="B66" t="b">
        <f t="array" ref="B66">_xll.qlOvernightIndexedCouponCompoundSpreadDaily(B23)</f>
        <v>0</v>
      </c>
    </row>
    <row r="67" spans="1:68">
      <c r="A67" t="s">
        <v>95</v>
      </c>
      <c r="B67">
        <f t="array" ref="B67">_xll.qlOvernightIndexedCouponLockoutDays(B22)</f>
        <v>0</v>
      </c>
    </row>
    <row r="68" spans="1:68">
      <c r="A68" t="s">
        <v>96</v>
      </c>
      <c r="B68">
        <f t="array" ref="B68">_xll.qlOvernightIndexedCouponRateComputationStartDate(B22)</f>
        <v>0</v>
      </c>
    </row>
    <row r="69" spans="1:68">
      <c r="A69" t="s">
        <v>97</v>
      </c>
      <c r="B69">
        <f t="array" ref="B69">_xll.qlOvernightIndexedCouponRateComputationEndDate(B22)</f>
        <v>0</v>
      </c>
    </row>
    <row r="70" spans="1:68">
      <c r="A70" t="s">
        <v>98</v>
      </c>
      <c r="B70" s="1">
        <f t="array" ref="B70:BP70">TRANSPOSE(_xll.qlOvernightIndexedCouponValueDates(B22))</f>
        <v>46240</v>
      </c>
      <c r="C70" s="1">
        <v>46241</v>
      </c>
      <c r="D70" s="1">
        <v>46244</v>
      </c>
      <c r="E70" s="1">
        <v>46245</v>
      </c>
      <c r="F70" s="1">
        <v>46246</v>
      </c>
      <c r="G70" s="1">
        <v>46247</v>
      </c>
      <c r="H70" s="1">
        <v>46248</v>
      </c>
      <c r="I70" s="1">
        <v>46251</v>
      </c>
      <c r="J70" s="1">
        <v>46252</v>
      </c>
      <c r="K70" s="1">
        <v>46253</v>
      </c>
      <c r="L70" s="1">
        <v>46254</v>
      </c>
      <c r="M70" s="1">
        <v>46255</v>
      </c>
      <c r="N70" s="1">
        <v>46258</v>
      </c>
      <c r="O70" s="1">
        <v>46259</v>
      </c>
      <c r="P70" s="1">
        <v>46260</v>
      </c>
      <c r="Q70" s="1">
        <v>46261</v>
      </c>
      <c r="R70" s="1">
        <v>46262</v>
      </c>
      <c r="S70" s="1">
        <v>46265</v>
      </c>
      <c r="T70" s="1">
        <v>46266</v>
      </c>
      <c r="U70" s="1">
        <v>46267</v>
      </c>
      <c r="V70" s="1">
        <v>46268</v>
      </c>
      <c r="W70" s="1">
        <v>46269</v>
      </c>
      <c r="X70" s="1">
        <v>46272</v>
      </c>
      <c r="Y70" s="1">
        <v>46273</v>
      </c>
      <c r="Z70" s="1">
        <v>46274</v>
      </c>
      <c r="AA70" s="1">
        <v>46275</v>
      </c>
      <c r="AB70" s="1">
        <v>46276</v>
      </c>
      <c r="AC70" s="1">
        <v>46279</v>
      </c>
      <c r="AD70" s="1">
        <v>46280</v>
      </c>
      <c r="AE70" s="1">
        <v>46281</v>
      </c>
      <c r="AF70" s="1">
        <v>46282</v>
      </c>
      <c r="AG70" s="1">
        <v>46283</v>
      </c>
      <c r="AH70" s="1">
        <v>46286</v>
      </c>
      <c r="AI70" s="1">
        <v>46287</v>
      </c>
      <c r="AJ70" s="1">
        <v>46288</v>
      </c>
      <c r="AK70" s="1">
        <v>46289</v>
      </c>
      <c r="AL70" s="1">
        <v>46290</v>
      </c>
      <c r="AM70" s="1">
        <v>46293</v>
      </c>
      <c r="AN70" s="1">
        <v>46294</v>
      </c>
      <c r="AO70" s="1">
        <v>46295</v>
      </c>
      <c r="AP70" s="1">
        <v>46296</v>
      </c>
      <c r="AQ70" s="1">
        <v>46297</v>
      </c>
      <c r="AR70" s="1">
        <v>46300</v>
      </c>
      <c r="AS70" s="1">
        <v>46301</v>
      </c>
      <c r="AT70" s="1">
        <v>46302</v>
      </c>
      <c r="AU70" s="1">
        <v>46303</v>
      </c>
      <c r="AV70" s="1">
        <v>46304</v>
      </c>
      <c r="AW70" s="1">
        <v>46307</v>
      </c>
      <c r="AX70" s="1">
        <v>46308</v>
      </c>
      <c r="AY70" s="1">
        <v>46309</v>
      </c>
      <c r="AZ70" s="1">
        <v>46310</v>
      </c>
      <c r="BA70" s="1">
        <v>46311</v>
      </c>
      <c r="BB70" s="1">
        <v>46314</v>
      </c>
      <c r="BC70" s="1">
        <v>46315</v>
      </c>
      <c r="BD70" s="1">
        <v>46316</v>
      </c>
      <c r="BE70" s="1">
        <v>46317</v>
      </c>
      <c r="BF70" s="1">
        <v>46318</v>
      </c>
      <c r="BG70" s="1">
        <v>46321</v>
      </c>
      <c r="BH70" s="1">
        <v>46322</v>
      </c>
      <c r="BI70" s="1">
        <v>46323</v>
      </c>
      <c r="BJ70" s="1">
        <v>46324</v>
      </c>
      <c r="BK70" s="1">
        <v>46325</v>
      </c>
      <c r="BL70" s="1">
        <v>46328</v>
      </c>
      <c r="BM70" s="1">
        <v>46329</v>
      </c>
      <c r="BN70" s="1">
        <v>46330</v>
      </c>
      <c r="BO70" s="1">
        <v>46331</v>
      </c>
      <c r="BP70" s="1">
        <v>46332</v>
      </c>
    </row>
    <row r="71" spans="1:68">
      <c r="A71" t="s">
        <v>99</v>
      </c>
      <c r="B71" s="1">
        <f t="array" ref="B71:BO71">TRANSPOSE(_xll.qlOvernightIndexedCouponFixingDates(B22))</f>
        <v>46240</v>
      </c>
      <c r="C71" s="1">
        <v>46241</v>
      </c>
      <c r="D71" s="1">
        <v>46244</v>
      </c>
      <c r="E71" s="1">
        <v>46245</v>
      </c>
      <c r="F71" s="1">
        <v>46246</v>
      </c>
      <c r="G71" s="1">
        <v>46247</v>
      </c>
      <c r="H71" s="1">
        <v>46248</v>
      </c>
      <c r="I71" s="1">
        <v>46251</v>
      </c>
      <c r="J71" s="1">
        <v>46252</v>
      </c>
      <c r="K71" s="1">
        <v>46253</v>
      </c>
      <c r="L71" s="1">
        <v>46254</v>
      </c>
      <c r="M71" s="1">
        <v>46255</v>
      </c>
      <c r="N71" s="1">
        <v>46258</v>
      </c>
      <c r="O71" s="1">
        <v>46259</v>
      </c>
      <c r="P71" s="1">
        <v>46260</v>
      </c>
      <c r="Q71" s="1">
        <v>46261</v>
      </c>
      <c r="R71" s="1">
        <v>46262</v>
      </c>
      <c r="S71" s="1">
        <v>46265</v>
      </c>
      <c r="T71" s="1">
        <v>46266</v>
      </c>
      <c r="U71" s="1">
        <v>46267</v>
      </c>
      <c r="V71" s="1">
        <v>46268</v>
      </c>
      <c r="W71" s="1">
        <v>46269</v>
      </c>
      <c r="X71" s="1">
        <v>46272</v>
      </c>
      <c r="Y71" s="1">
        <v>46273</v>
      </c>
      <c r="Z71" s="1">
        <v>46274</v>
      </c>
      <c r="AA71" s="1">
        <v>46275</v>
      </c>
      <c r="AB71" s="1">
        <v>46276</v>
      </c>
      <c r="AC71" s="1">
        <v>46279</v>
      </c>
      <c r="AD71" s="1">
        <v>46280</v>
      </c>
      <c r="AE71" s="1">
        <v>46281</v>
      </c>
      <c r="AF71" s="1">
        <v>46282</v>
      </c>
      <c r="AG71" s="1">
        <v>46283</v>
      </c>
      <c r="AH71" s="1">
        <v>46286</v>
      </c>
      <c r="AI71" s="1">
        <v>46287</v>
      </c>
      <c r="AJ71" s="1">
        <v>46288</v>
      </c>
      <c r="AK71" s="1">
        <v>46289</v>
      </c>
      <c r="AL71" s="1">
        <v>46290</v>
      </c>
      <c r="AM71" s="1">
        <v>46293</v>
      </c>
      <c r="AN71" s="1">
        <v>46294</v>
      </c>
      <c r="AO71" s="1">
        <v>46295</v>
      </c>
      <c r="AP71" s="1">
        <v>46296</v>
      </c>
      <c r="AQ71" s="1">
        <v>46297</v>
      </c>
      <c r="AR71" s="1">
        <v>46300</v>
      </c>
      <c r="AS71" s="1">
        <v>46301</v>
      </c>
      <c r="AT71" s="1">
        <v>46302</v>
      </c>
      <c r="AU71" s="1">
        <v>46303</v>
      </c>
      <c r="AV71" s="1">
        <v>46304</v>
      </c>
      <c r="AW71" s="1">
        <v>46307</v>
      </c>
      <c r="AX71" s="1">
        <v>46308</v>
      </c>
      <c r="AY71" s="1">
        <v>46309</v>
      </c>
      <c r="AZ71" s="1">
        <v>46310</v>
      </c>
      <c r="BA71" s="1">
        <v>46311</v>
      </c>
      <c r="BB71" s="1">
        <v>46314</v>
      </c>
      <c r="BC71" s="1">
        <v>46315</v>
      </c>
      <c r="BD71" s="1">
        <v>46316</v>
      </c>
      <c r="BE71" s="1">
        <v>46317</v>
      </c>
      <c r="BF71" s="1">
        <v>46318</v>
      </c>
      <c r="BG71" s="1">
        <v>46321</v>
      </c>
      <c r="BH71" s="1">
        <v>46322</v>
      </c>
      <c r="BI71" s="1">
        <v>46323</v>
      </c>
      <c r="BJ71" s="1">
        <v>46324</v>
      </c>
      <c r="BK71" s="1">
        <v>46325</v>
      </c>
      <c r="BL71" s="1">
        <v>46328</v>
      </c>
      <c r="BM71" s="1">
        <v>46329</v>
      </c>
      <c r="BN71" s="1">
        <v>46330</v>
      </c>
      <c r="BO71" s="1">
        <v>46331</v>
      </c>
      <c r="BP71" s="1"/>
    </row>
    <row r="72" spans="1:68">
      <c r="A72" t="s">
        <v>100</v>
      </c>
      <c r="B72">
        <f t="array" ref="B72:BO72">TRANSPOSE(_xll.qlOvernightIndexedCouponDt(B22))</f>
        <v>2.7777777777777779E-3</v>
      </c>
      <c r="C72">
        <v>8.3333333333333332E-3</v>
      </c>
      <c r="D72">
        <v>2.7777777777777779E-3</v>
      </c>
      <c r="E72">
        <v>2.7777777777777779E-3</v>
      </c>
      <c r="F72">
        <v>2.7777777777777779E-3</v>
      </c>
      <c r="G72">
        <v>2.7777777777777779E-3</v>
      </c>
      <c r="H72">
        <v>8.3333333333333332E-3</v>
      </c>
      <c r="I72">
        <v>2.7777777777777779E-3</v>
      </c>
      <c r="J72">
        <v>2.7777777777777779E-3</v>
      </c>
      <c r="K72">
        <v>2.7777777777777779E-3</v>
      </c>
      <c r="L72">
        <v>2.7777777777777779E-3</v>
      </c>
      <c r="M72">
        <v>8.3333333333333332E-3</v>
      </c>
      <c r="N72">
        <v>2.7777777777777779E-3</v>
      </c>
      <c r="O72">
        <v>2.7777777777777779E-3</v>
      </c>
      <c r="P72">
        <v>2.7777777777777779E-3</v>
      </c>
      <c r="Q72">
        <v>2.7777777777777779E-3</v>
      </c>
      <c r="R72">
        <v>8.3333333333333332E-3</v>
      </c>
      <c r="S72">
        <v>2.7777777777777779E-3</v>
      </c>
      <c r="T72">
        <v>2.7777777777777779E-3</v>
      </c>
      <c r="U72">
        <v>2.7777777777777779E-3</v>
      </c>
      <c r="V72">
        <v>2.7777777777777779E-3</v>
      </c>
      <c r="W72">
        <v>8.3333333333333332E-3</v>
      </c>
      <c r="X72">
        <v>2.7777777777777779E-3</v>
      </c>
      <c r="Y72">
        <v>2.7777777777777779E-3</v>
      </c>
      <c r="Z72">
        <v>2.7777777777777779E-3</v>
      </c>
      <c r="AA72">
        <v>2.7777777777777779E-3</v>
      </c>
      <c r="AB72">
        <v>8.3333333333333332E-3</v>
      </c>
      <c r="AC72">
        <v>2.7777777777777779E-3</v>
      </c>
      <c r="AD72">
        <v>2.7777777777777779E-3</v>
      </c>
      <c r="AE72">
        <v>2.7777777777777779E-3</v>
      </c>
      <c r="AF72">
        <v>2.7777777777777779E-3</v>
      </c>
      <c r="AG72">
        <v>8.3333333333333332E-3</v>
      </c>
      <c r="AH72">
        <v>2.7777777777777779E-3</v>
      </c>
      <c r="AI72">
        <v>2.7777777777777779E-3</v>
      </c>
      <c r="AJ72">
        <v>2.7777777777777779E-3</v>
      </c>
      <c r="AK72">
        <v>2.7777777777777779E-3</v>
      </c>
      <c r="AL72">
        <v>8.3333333333333332E-3</v>
      </c>
      <c r="AM72">
        <v>2.7777777777777779E-3</v>
      </c>
      <c r="AN72">
        <v>2.7777777777777779E-3</v>
      </c>
      <c r="AO72">
        <v>2.7777777777777779E-3</v>
      </c>
      <c r="AP72">
        <v>2.7777777777777779E-3</v>
      </c>
      <c r="AQ72">
        <v>8.3333333333333332E-3</v>
      </c>
      <c r="AR72">
        <v>2.7777777777777779E-3</v>
      </c>
      <c r="AS72">
        <v>2.7777777777777779E-3</v>
      </c>
      <c r="AT72">
        <v>2.7777777777777779E-3</v>
      </c>
      <c r="AU72">
        <v>2.7777777777777779E-3</v>
      </c>
      <c r="AV72">
        <v>8.3333333333333332E-3</v>
      </c>
      <c r="AW72">
        <v>2.7777777777777779E-3</v>
      </c>
      <c r="AX72">
        <v>2.7777777777777779E-3</v>
      </c>
      <c r="AY72">
        <v>2.7777777777777779E-3</v>
      </c>
      <c r="AZ72">
        <v>2.7777777777777779E-3</v>
      </c>
      <c r="BA72">
        <v>8.3333333333333332E-3</v>
      </c>
      <c r="BB72">
        <v>2.7777777777777779E-3</v>
      </c>
      <c r="BC72">
        <v>2.7777777777777779E-3</v>
      </c>
      <c r="BD72">
        <v>2.7777777777777779E-3</v>
      </c>
      <c r="BE72">
        <v>2.7777777777777779E-3</v>
      </c>
      <c r="BF72">
        <v>8.3333333333333332E-3</v>
      </c>
      <c r="BG72">
        <v>2.7777777777777779E-3</v>
      </c>
      <c r="BH72">
        <v>2.7777777777777779E-3</v>
      </c>
      <c r="BI72">
        <v>2.7777777777777779E-3</v>
      </c>
      <c r="BJ72">
        <v>2.7777777777777779E-3</v>
      </c>
      <c r="BK72">
        <v>8.3333333333333332E-3</v>
      </c>
      <c r="BL72">
        <v>2.7777777777777779E-3</v>
      </c>
      <c r="BM72">
        <v>2.7777777777777779E-3</v>
      </c>
      <c r="BN72">
        <v>2.7777777777777779E-3</v>
      </c>
      <c r="BO72">
        <v>2.7777777777777779E-3</v>
      </c>
    </row>
    <row r="73" spans="1:68">
      <c r="A73" t="s">
        <v>101</v>
      </c>
      <c r="B73">
        <f t="array" ref="B73:BO73">TRANSPOSE(_xll.qlOvernightIndexedCouponIndexFixings(B22))</f>
        <v>2.9590257117293461E-2</v>
      </c>
      <c r="C73">
        <v>2.9592689359700941E-2</v>
      </c>
      <c r="D73">
        <v>2.9590257117213525E-2</v>
      </c>
      <c r="E73">
        <v>2.9590257117213525E-2</v>
      </c>
      <c r="F73">
        <v>2.9590257117133589E-2</v>
      </c>
      <c r="G73">
        <v>2.9590257117213525E-2</v>
      </c>
      <c r="H73">
        <v>2.9592689359700941E-2</v>
      </c>
      <c r="I73">
        <v>2.9590257117213525E-2</v>
      </c>
      <c r="J73">
        <v>2.9590257117133589E-2</v>
      </c>
      <c r="K73">
        <v>2.9590257117213525E-2</v>
      </c>
      <c r="L73">
        <v>2.9590257117213525E-2</v>
      </c>
      <c r="M73">
        <v>2.9592689359700941E-2</v>
      </c>
      <c r="N73">
        <v>2.9590257117213525E-2</v>
      </c>
      <c r="O73">
        <v>2.9590257117213525E-2</v>
      </c>
      <c r="P73">
        <v>2.9590257117213525E-2</v>
      </c>
      <c r="Q73">
        <v>2.9590257117213525E-2</v>
      </c>
      <c r="R73">
        <v>2.9592689359700941E-2</v>
      </c>
      <c r="S73">
        <v>2.9590257117213525E-2</v>
      </c>
      <c r="T73">
        <v>2.9590257117213525E-2</v>
      </c>
      <c r="U73">
        <v>2.9590257117213525E-2</v>
      </c>
      <c r="V73">
        <v>2.9590257117213525E-2</v>
      </c>
      <c r="W73">
        <v>2.9592689359700941E-2</v>
      </c>
      <c r="X73">
        <v>2.9590257117213525E-2</v>
      </c>
      <c r="Y73">
        <v>2.9590257117133589E-2</v>
      </c>
      <c r="Z73">
        <v>2.9590257117213525E-2</v>
      </c>
      <c r="AA73">
        <v>2.9590257117133589E-2</v>
      </c>
      <c r="AB73">
        <v>2.9592689359754232E-2</v>
      </c>
      <c r="AC73">
        <v>2.9590257117133589E-2</v>
      </c>
      <c r="AD73">
        <v>2.9590257117213525E-2</v>
      </c>
      <c r="AE73">
        <v>2.9590257117213525E-2</v>
      </c>
      <c r="AF73">
        <v>2.9590257117213525E-2</v>
      </c>
      <c r="AG73">
        <v>2.9592689359727586E-2</v>
      </c>
      <c r="AH73">
        <v>2.9590257117133589E-2</v>
      </c>
      <c r="AI73">
        <v>2.9590257117213525E-2</v>
      </c>
      <c r="AJ73">
        <v>2.9590257117213525E-2</v>
      </c>
      <c r="AK73">
        <v>2.9590257117133589E-2</v>
      </c>
      <c r="AL73">
        <v>2.9592689359727586E-2</v>
      </c>
      <c r="AM73">
        <v>2.9590257117213525E-2</v>
      </c>
      <c r="AN73">
        <v>2.9590257117213525E-2</v>
      </c>
      <c r="AO73">
        <v>2.9590257117133589E-2</v>
      </c>
      <c r="AP73">
        <v>2.9590257117213525E-2</v>
      </c>
      <c r="AQ73">
        <v>2.9592689359700941E-2</v>
      </c>
      <c r="AR73">
        <v>2.9590257117213525E-2</v>
      </c>
      <c r="AS73">
        <v>2.9590257117133589E-2</v>
      </c>
      <c r="AT73">
        <v>2.9590257117213525E-2</v>
      </c>
      <c r="AU73">
        <v>2.9590257117133589E-2</v>
      </c>
      <c r="AV73">
        <v>2.9592689359727586E-2</v>
      </c>
      <c r="AW73">
        <v>2.9590257117133589E-2</v>
      </c>
      <c r="AX73">
        <v>2.9590257117213525E-2</v>
      </c>
      <c r="AY73">
        <v>2.9590257117213525E-2</v>
      </c>
      <c r="AZ73">
        <v>2.9590257117213525E-2</v>
      </c>
      <c r="BA73">
        <v>2.9592689359700941E-2</v>
      </c>
      <c r="BB73">
        <v>2.9590257117213525E-2</v>
      </c>
      <c r="BC73">
        <v>2.9590257117133589E-2</v>
      </c>
      <c r="BD73">
        <v>2.9590257117213525E-2</v>
      </c>
      <c r="BE73">
        <v>2.9590257117213525E-2</v>
      </c>
      <c r="BF73">
        <v>2.9592689359700941E-2</v>
      </c>
      <c r="BG73">
        <v>2.9590257117133589E-2</v>
      </c>
      <c r="BH73">
        <v>2.9590257117213525E-2</v>
      </c>
      <c r="BI73">
        <v>2.9590257117213525E-2</v>
      </c>
      <c r="BJ73">
        <v>2.9590257117213525E-2</v>
      </c>
      <c r="BK73">
        <v>2.9592689359727586E-2</v>
      </c>
      <c r="BL73">
        <v>2.9590257117213525E-2</v>
      </c>
      <c r="BM73">
        <v>2.9590257117213525E-2</v>
      </c>
      <c r="BN73">
        <v>2.9590257117133589E-2</v>
      </c>
      <c r="BO73">
        <v>2.9590257117213525E-2</v>
      </c>
    </row>
    <row r="74" spans="1:68">
      <c r="A74" t="s">
        <v>102</v>
      </c>
      <c r="B74">
        <f t="array" ref="B74">_xll.qlOvernightIndexedCouponEffectiveIndexFixing(B22)</f>
        <v>2.9701194500806039E-2</v>
      </c>
    </row>
    <row r="75" spans="1:68">
      <c r="A75" t="s">
        <v>103</v>
      </c>
      <c r="B75">
        <f t="array" ref="B75">_xll.qlOvernightIndexedCouponEffectiveSpread(B22)</f>
        <v>0</v>
      </c>
    </row>
    <row r="77" spans="1:68">
      <c r="A77" t="s">
        <v>104</v>
      </c>
      <c r="B77" t="str">
        <f t="array" ref="B77">_xll.qlCappedFlooredOvernightIndexedCouponUnderlying(B26)</f>
        <v>欣[test_cashflows.xlsx]Coupons!R77C2OvernightIndexedCoupon,A</v>
      </c>
    </row>
    <row r="78" spans="1:68">
      <c r="A78" t="s">
        <v>105</v>
      </c>
      <c r="B78" t="b">
        <f t="array" ref="B78">_xll.qlCappedFlooredOvernightIndexedCouponNakedOption(B26)</f>
        <v>0</v>
      </c>
    </row>
    <row r="79" spans="1:68">
      <c r="A79" t="s">
        <v>106</v>
      </c>
      <c r="B79" t="b">
        <f t="array" ref="B79">_xll.qlCappedFlooredOvernightIndexedCouponDailyCapFloor(B26)</f>
        <v>0</v>
      </c>
    </row>
    <row r="80" spans="1:68">
      <c r="A80" t="s">
        <v>107</v>
      </c>
      <c r="B80" t="str">
        <f t="array" ref="B80">_xll.qlCappedFlooredOvernightIndexedCouponAveragingMethod(B26)</f>
        <v>COMPOUND</v>
      </c>
    </row>
    <row r="81" spans="1:2">
      <c r="A81" t="s">
        <v>108</v>
      </c>
      <c r="B81" t="b">
        <f t="array" ref="B81">_xll.qlCappedFlooredOvernightIndexedCouponCompoundSpreadDaily(B26)</f>
        <v>0</v>
      </c>
    </row>
    <row r="82" spans="1:2">
      <c r="A82" t="s">
        <v>109</v>
      </c>
      <c r="B82">
        <f t="array" ref="B82">FIND("RuntimeError: RuntimeError: coupon pricer not an instance of OvernightIndexedCouponPricer", _xll.qlCappedFlooredOvernightIndexedCouponEffectiveCapletVolatility(B26))</f>
        <v>1</v>
      </c>
    </row>
    <row r="83" spans="1:2">
      <c r="A83" t="s">
        <v>110</v>
      </c>
      <c r="B83">
        <f t="array" ref="B83">FIND("RuntimeError: RuntimeError: coupon pricer not an instance of OvernightIndexedCouponPricer",_xll.qlCappedFlooredOvernightIndexedCouponEffectiveFloorletVolatility(B26))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50399-A1BE-49BB-B0E5-3B8BD9C2C423}">
  <dimension ref="A1:I33"/>
  <sheetViews>
    <sheetView workbookViewId="0">
      <selection activeCell="B30" sqref="B30"/>
    </sheetView>
  </sheetViews>
  <sheetFormatPr baseColWidth="10" defaultColWidth="9" defaultRowHeight="14.25"/>
  <cols>
    <col min="1" max="1" width="33" customWidth="1"/>
    <col min="2" max="2" width="39.25" customWidth="1"/>
    <col min="6" max="6" width="13.75" bestFit="1" customWidth="1"/>
    <col min="7" max="7" width="15.875" customWidth="1"/>
  </cols>
  <sheetData>
    <row r="1" spans="1:9">
      <c r="A1" t="s">
        <v>19</v>
      </c>
      <c r="B1" s="1">
        <f>EvaluationDate!B2</f>
        <v>46146</v>
      </c>
    </row>
    <row r="3" spans="1:9">
      <c r="A3" t="s">
        <v>2</v>
      </c>
      <c r="B3" t="str">
        <f>_xll.qlFlatForward(B1,0.03,"actual365fixed","Continuous")</f>
        <v>欣[test_cashflows.xlsx]Legs!R3C2YieldTermStructureHandle,A</v>
      </c>
      <c r="F3" t="s">
        <v>44</v>
      </c>
      <c r="G3" t="s">
        <v>45</v>
      </c>
    </row>
    <row r="4" spans="1:9">
      <c r="A4" t="s">
        <v>3</v>
      </c>
      <c r="B4" t="str">
        <f>_xll.qlFlatForward(B1,0.02,"actual365fixed","Continuous")</f>
        <v>欣[test_cashflows.xlsx]Legs!R4C2YieldTermStructureHandle,A</v>
      </c>
      <c r="F4" s="1">
        <f t="array" ref="F4:F12">_xll.qlScheduleDates(B18)</f>
        <v>46238</v>
      </c>
    </row>
    <row r="5" spans="1:9">
      <c r="F5" s="1">
        <v>46330</v>
      </c>
      <c r="G5">
        <v>100</v>
      </c>
      <c r="I5">
        <v>0.03</v>
      </c>
    </row>
    <row r="6" spans="1:9">
      <c r="A6" t="s">
        <v>4</v>
      </c>
      <c r="B6" t="str">
        <f t="array" ref="B6">_xll.qlEonia(B3)</f>
        <v>欣[test_cashflows.xlsx]Legs!R6C2Eonia,A</v>
      </c>
      <c r="F6" s="1">
        <v>46422</v>
      </c>
      <c r="G6">
        <f t="shared" ref="G6:G12" si="0">G5+1</f>
        <v>101</v>
      </c>
      <c r="I6">
        <v>0.02</v>
      </c>
    </row>
    <row r="7" spans="1:9">
      <c r="A7" t="s">
        <v>5</v>
      </c>
      <c r="B7" t="str">
        <f t="array" ref="B7">_xll.qlEuribor("3m",B3)</f>
        <v>欣[test_cashflows.xlsx]Legs!R7C2Euribor,A</v>
      </c>
      <c r="F7" s="1">
        <v>46511</v>
      </c>
      <c r="G7">
        <f t="shared" si="0"/>
        <v>102</v>
      </c>
    </row>
    <row r="8" spans="1:9">
      <c r="A8" t="s">
        <v>50</v>
      </c>
      <c r="B8" t="str">
        <f t="array" ref="B8">_xll.qlEuriborSwapIsdaFixA("10y",B3)</f>
        <v>欣[test_cashflows.xlsx]Legs!R8C2EuriborSwapIsdaFixA,A</v>
      </c>
      <c r="F8" s="1">
        <v>46603</v>
      </c>
      <c r="G8">
        <f t="shared" si="0"/>
        <v>103</v>
      </c>
    </row>
    <row r="9" spans="1:9">
      <c r="A9" t="s">
        <v>51</v>
      </c>
      <c r="B9" t="str">
        <f t="array" ref="B9">_xll.qlEuriborSwapIsdaFixA("2y",B3)</f>
        <v>欣[test_cashflows.xlsx]Legs!R9C2EuriborSwapIsdaFixA,A</v>
      </c>
      <c r="F9" s="1">
        <v>46695</v>
      </c>
      <c r="G9">
        <f t="shared" si="0"/>
        <v>104</v>
      </c>
    </row>
    <row r="10" spans="1:9">
      <c r="A10" t="s">
        <v>52</v>
      </c>
      <c r="B10" t="str">
        <f t="array" ref="B10">_xll.qlSwapSpreadIndex("TenMinusTwo",B8,B9)</f>
        <v>欣[test_cashflows.xlsx]Legs!R10C2SwapSpreadIndex,A</v>
      </c>
      <c r="F10" s="1">
        <v>46787</v>
      </c>
      <c r="G10">
        <f t="shared" si="0"/>
        <v>105</v>
      </c>
    </row>
    <row r="11" spans="1:9">
      <c r="F11" s="1">
        <v>46877</v>
      </c>
      <c r="G11">
        <f t="shared" si="0"/>
        <v>106</v>
      </c>
    </row>
    <row r="12" spans="1:9">
      <c r="A12" t="s">
        <v>37</v>
      </c>
      <c r="B12" t="s">
        <v>40</v>
      </c>
      <c r="F12" s="1">
        <v>46969</v>
      </c>
      <c r="G12">
        <f t="shared" si="0"/>
        <v>107</v>
      </c>
    </row>
    <row r="13" spans="1:9">
      <c r="A13" t="s">
        <v>21</v>
      </c>
      <c r="B13" s="1">
        <f t="array" ref="B13">_xll.qlCalendarAdvance(B12,B1,"3m","following")</f>
        <v>46238</v>
      </c>
    </row>
    <row r="14" spans="1:9">
      <c r="A14" t="s">
        <v>22</v>
      </c>
      <c r="B14" s="1">
        <f t="array" ref="B14">_xll.qlCalendarAdvance(B12,B13,"2y","following")</f>
        <v>46969</v>
      </c>
    </row>
    <row r="15" spans="1:9">
      <c r="A15" t="s">
        <v>36</v>
      </c>
      <c r="B15" t="s">
        <v>41</v>
      </c>
    </row>
    <row r="16" spans="1:9">
      <c r="A16" t="s">
        <v>38</v>
      </c>
      <c r="B16" t="s">
        <v>42</v>
      </c>
    </row>
    <row r="17" spans="1:9">
      <c r="A17" t="s">
        <v>39</v>
      </c>
      <c r="B17" t="s">
        <v>26</v>
      </c>
    </row>
    <row r="18" spans="1:9">
      <c r="A18" t="s">
        <v>43</v>
      </c>
      <c r="B18" t="str">
        <f t="array" ref="B18">_xll.qlMakeSchedule(B13,B14,B15,,B12,B16)</f>
        <v>欣[test_cashflows.xlsx]Legs!R18C2Schedule,A</v>
      </c>
    </row>
    <row r="20" spans="1:9">
      <c r="A20" t="s">
        <v>46</v>
      </c>
      <c r="B20" s="5" t="str">
        <f t="array" ref="B20:I20">TRANSPOSE(_xll.qlFixedRateLeg(B18,B17,G5:G12,I5:I6))</f>
        <v>欣[test_cashflows.xlsx]Legs!R20C2:R20C9CashFlow,A</v>
      </c>
      <c r="C20" s="5" t="str">
        <v>欣[test_cashflows.xlsx]Legs!R20C2:R20C9CashFlow,B</v>
      </c>
      <c r="D20" s="5" t="str">
        <v>欣[test_cashflows.xlsx]Legs!R20C2:R20C9CashFlow,C</v>
      </c>
      <c r="E20" s="5" t="str">
        <v>欣[test_cashflows.xlsx]Legs!R20C2:R20C9CashFlow,D</v>
      </c>
      <c r="F20" s="5" t="str">
        <v>欣[test_cashflows.xlsx]Legs!R20C2:R20C9CashFlow,E</v>
      </c>
      <c r="G20" s="5" t="str">
        <v>欣[test_cashflows.xlsx]Legs!R20C2:R20C9CashFlow,F</v>
      </c>
      <c r="H20" s="5" t="str">
        <v>欣[test_cashflows.xlsx]Legs!R20C2:R20C9CashFlow,G</v>
      </c>
      <c r="I20" s="5" t="str">
        <v>欣[test_cashflows.xlsx]Legs!R20C2:R20C9CashFlow,H</v>
      </c>
    </row>
    <row r="21" spans="1:9">
      <c r="A21" t="s">
        <v>47</v>
      </c>
      <c r="B21" s="5" t="str">
        <f t="array" ref="B21:I21">TRANSPOSE(_xll.qlIborLeg(G5,B18,B7,,,4))</f>
        <v>欣[test_cashflows.xlsx]Legs!R21C2:R21C9CashFlow,A</v>
      </c>
      <c r="C21" s="5" t="str">
        <v>欣[test_cashflows.xlsx]Legs!R21C2:R21C9CashFlow,B</v>
      </c>
      <c r="D21" s="5" t="str">
        <v>欣[test_cashflows.xlsx]Legs!R21C2:R21C9CashFlow,C</v>
      </c>
      <c r="E21" s="5" t="str">
        <v>欣[test_cashflows.xlsx]Legs!R21C2:R21C9CashFlow,D</v>
      </c>
      <c r="F21" s="5" t="str">
        <v>欣[test_cashflows.xlsx]Legs!R21C2:R21C9CashFlow,E</v>
      </c>
      <c r="G21" s="5" t="str">
        <v>欣[test_cashflows.xlsx]Legs!R21C2:R21C9CashFlow,F</v>
      </c>
      <c r="H21" s="5" t="str">
        <v>欣[test_cashflows.xlsx]Legs!R21C2:R21C9CashFlow,G</v>
      </c>
      <c r="I21" s="5" t="str">
        <v>欣[test_cashflows.xlsx]Legs!R21C2:R21C9CashFlow,H</v>
      </c>
    </row>
    <row r="22" spans="1:9">
      <c r="A22" t="s">
        <v>48</v>
      </c>
      <c r="B22" s="5" t="str">
        <f t="array" ref="B22:I22">TRANSPOSE(_xll.qlOvernightLeg(G5,B18,B6))</f>
        <v>欣[test_cashflows.xlsx]Legs!R22C2:R22C9CashFlow,A</v>
      </c>
      <c r="C22" s="5" t="str">
        <v>欣[test_cashflows.xlsx]Legs!R22C2:R22C9CashFlow,B</v>
      </c>
      <c r="D22" s="5" t="str">
        <v>欣[test_cashflows.xlsx]Legs!R22C2:R22C9CashFlow,C</v>
      </c>
      <c r="E22" s="5" t="str">
        <v>欣[test_cashflows.xlsx]Legs!R22C2:R22C9CashFlow,D</v>
      </c>
      <c r="F22" s="5" t="str">
        <v>欣[test_cashflows.xlsx]Legs!R22C2:R22C9CashFlow,E</v>
      </c>
      <c r="G22" s="5" t="str">
        <v>欣[test_cashflows.xlsx]Legs!R22C2:R22C9CashFlow,F</v>
      </c>
      <c r="H22" s="5" t="str">
        <v>欣[test_cashflows.xlsx]Legs!R22C2:R22C9CashFlow,G</v>
      </c>
      <c r="I22" s="5" t="str">
        <v>欣[test_cashflows.xlsx]Legs!R22C2:R22C9CashFlow,H</v>
      </c>
    </row>
    <row r="23" spans="1:9">
      <c r="A23" t="s">
        <v>49</v>
      </c>
      <c r="B23" s="5" t="str">
        <f t="array" ref="B23:I23">TRANSPOSE(_xll.qlCmsLeg(G5,B18,B8))</f>
        <v>欣[test_cashflows.xlsx]Legs!R23C2:R23C9CashFlow,A</v>
      </c>
      <c r="C23" s="5" t="str">
        <v>欣[test_cashflows.xlsx]Legs!R23C2:R23C9CashFlow,B</v>
      </c>
      <c r="D23" s="5" t="str">
        <v>欣[test_cashflows.xlsx]Legs!R23C2:R23C9CashFlow,C</v>
      </c>
      <c r="E23" s="5" t="str">
        <v>欣[test_cashflows.xlsx]Legs!R23C2:R23C9CashFlow,D</v>
      </c>
      <c r="F23" s="5" t="str">
        <v>欣[test_cashflows.xlsx]Legs!R23C2:R23C9CashFlow,E</v>
      </c>
      <c r="G23" s="5" t="str">
        <v>欣[test_cashflows.xlsx]Legs!R23C2:R23C9CashFlow,F</v>
      </c>
      <c r="H23" s="5" t="str">
        <v>欣[test_cashflows.xlsx]Legs!R23C2:R23C9CashFlow,G</v>
      </c>
      <c r="I23" s="5" t="str">
        <v>欣[test_cashflows.xlsx]Legs!R23C2:R23C9CashFlow,H</v>
      </c>
    </row>
    <row r="24" spans="1:9">
      <c r="A24" t="s">
        <v>54</v>
      </c>
      <c r="B24" s="5" t="e">
        <f t="array" ref="B24:I24">TRANSPOSE(_xll.qlCmsZeroLeg(G5,B18,B9))</f>
        <v>#VALUE!</v>
      </c>
      <c r="C24" s="5" t="e">
        <v>#VALUE!</v>
      </c>
      <c r="D24" s="5" t="e">
        <v>#VALUE!</v>
      </c>
      <c r="E24" s="5" t="e">
        <v>#VALUE!</v>
      </c>
      <c r="F24" s="5" t="e">
        <v>#VALUE!</v>
      </c>
      <c r="G24" s="5" t="e">
        <v>#VALUE!</v>
      </c>
      <c r="H24" s="5" t="e">
        <v>#VALUE!</v>
      </c>
      <c r="I24" s="5" t="e">
        <v>#VALUE!</v>
      </c>
    </row>
    <row r="25" spans="1:9">
      <c r="A25" t="s">
        <v>53</v>
      </c>
      <c r="B25" s="5" t="str">
        <f t="array" ref="B25:I25">TRANSPOSE(_xll.qlCmsSpreadLeg(G5:G7,B18,B10))</f>
        <v>欣[test_cashflows.xlsx]Legs!R25C2:R25C9CashFlow,A</v>
      </c>
      <c r="C25" s="5" t="str">
        <v>欣[test_cashflows.xlsx]Legs!R25C2:R25C9CashFlow,B</v>
      </c>
      <c r="D25" s="5" t="str">
        <v>欣[test_cashflows.xlsx]Legs!R25C2:R25C9CashFlow,C</v>
      </c>
      <c r="E25" s="5" t="str">
        <v>欣[test_cashflows.xlsx]Legs!R25C2:R25C9CashFlow,D</v>
      </c>
      <c r="F25" s="5" t="str">
        <v>欣[test_cashflows.xlsx]Legs!R25C2:R25C9CashFlow,E</v>
      </c>
      <c r="G25" s="5" t="str">
        <v>欣[test_cashflows.xlsx]Legs!R25C2:R25C9CashFlow,F</v>
      </c>
      <c r="H25" s="5" t="str">
        <v>欣[test_cashflows.xlsx]Legs!R25C2:R25C9CashFlow,G</v>
      </c>
      <c r="I25" s="5" t="str">
        <v>欣[test_cashflows.xlsx]Legs!R25C2:R25C9CashFlow,H</v>
      </c>
    </row>
    <row r="26" spans="1:9">
      <c r="A26" t="s">
        <v>55</v>
      </c>
      <c r="B26" s="5" t="str">
        <f t="array" ref="B26:E26">TRANSPOSE(_xll.qlMultipleResetsLeg(B18,B7,2,G5))</f>
        <v>欣[test_cashflows.xlsx]Legs!R26C2:R26C5CashFlow,A</v>
      </c>
      <c r="C26" s="5" t="str">
        <v>欣[test_cashflows.xlsx]Legs!R26C2:R26C5CashFlow,B</v>
      </c>
      <c r="D26" s="5" t="str">
        <v>欣[test_cashflows.xlsx]Legs!R26C2:R26C5CashFlow,C</v>
      </c>
      <c r="E26" s="5" t="str">
        <v>欣[test_cashflows.xlsx]Legs!R26C2:R26C5CashFlow,D</v>
      </c>
      <c r="F26" s="5"/>
      <c r="G26" s="5"/>
      <c r="H26" s="5"/>
      <c r="I26" s="5"/>
    </row>
    <row r="28" spans="1:9">
      <c r="A28" t="s">
        <v>56</v>
      </c>
      <c r="B28">
        <f t="array" ref="B28">_xll.qlCashFlowsNpv(B20,B4,TRUE)</f>
        <v>0.75897582173628064</v>
      </c>
    </row>
    <row r="29" spans="1:9">
      <c r="A29" t="s">
        <v>57</v>
      </c>
      <c r="B29">
        <f t="array" ref="B29">_xll.qlCashFlowsBps(B20,B4,TRUE)</f>
        <v>2.5299194057875878E-3</v>
      </c>
    </row>
    <row r="30" spans="1:9">
      <c r="A30" t="s">
        <v>58</v>
      </c>
      <c r="B30" t="str">
        <f t="array" aca="1" ref="B30" ca="1">_xll.qlCashFlowsNpv(_xlfn.ANCHORARRAY(B20),B4,TRUE)</f>
        <v xml:space="preserve">TypeError: TypeError: Wrong number or type of arguments for overloaded function 'CashFlows_npv'.
  Possible C/C++ prototypes are:
    CashFlows::npv(Leg const &amp;,YieldTermStructure const &amp;,bool,Date const &amp;,Date const &amp;)
    CashFlows::npv(Leg const &amp;,YieldTermStructure const &amp;,bool,Date const &amp;)
    CashFlows::npv(Leg const &amp;,YieldTermStructure const &amp;,bool)
    CashFlows::npv(Leg const &amp;,Handle&lt; YieldTermStructure &gt; const &amp;,bool,Date const &amp;,Date const &amp;)
    CashFlows::npv(Leg const &amp;,Handle&lt; YieldTermStructure &gt; const &amp;,bool,Date const &amp;)
    CashFlows::npv(Leg const &amp;,Handle&lt; YieldTermStructure &gt; const &amp;,bool)
    CashFlows::npv(Leg const &amp;,InterestRate const &amp;,bool,Date,Date)
    CashFlows::npv(Leg const &amp;,InterestRate const &amp;,bool,Date)
    CashFlows::npv(Leg const &amp;,InterestRate const &amp;,bool)
    CashFlows::npv(Leg const &amp;,Rate,DayCounter const &amp;,Compounding,Frequency,bool,Date,Date)
    CashFlows::npv(Leg const &amp;,Rate,DayCounter const &amp;,Compounding,Frequency,bool,Date)
    CashFlows::npv(Leg const &amp;,Rate,DayCounter const &amp;,Compounding,Frequency,bool)
    CashFlows::npv(Leg const &amp;,ext::shared_ptr&lt; YieldTermStructure &gt; const &amp;,Spread,Compounding,Frequency,ext::optional&lt; bool &gt;,Date const &amp;,Date const &amp;)
    CashFlows::npv(Leg const &amp;,ext::shared_ptr&lt; YieldTermStructure &gt; const &amp;,Spread,Compounding,Frequency,ext::optional&lt; bool &gt;,Date const &amp;)
    CashFlows::npv(Leg const &amp;,ext::shared_ptr&lt; YieldTermStructure &gt; const &amp;,Spread,Compounding,Frequency,ext::optional&lt; bool &gt;)
    CashFlows::npv(Leg const &amp;,ext::shared_ptr&lt; YieldTermStructure &gt; const &amp;,Spread,Compounding,Frequency)
    CashFlows::npv(Leg const &amp;,ext::shared_ptr&lt; YieldTermStructure &gt; const &amp;,Spread,DayCounter const &amp;,Compounding,Frequency,bool,Date const &amp;,Date const &amp;)
    CashFlows::npv(Leg const &amp;,ext::shared_ptr&lt; YieldTermStructure &gt; const &amp;,Spread,DayCounter const &amp;,Compounding,Frequency,bool,Date const &amp;)
    CashFlows::npv(Leg const &amp;,ext::shared_ptr&lt; YieldTermStructure &gt; const &amp;,Spread,DayCounter const &amp;,Compounding,Frequency,bool)
Traceback (most recent call last):
  File "C:\Users\kerst\Desktop\FRAME\Pricing Software\Quantlib\QuantLibXlOil\src\quantlib_xloil\cashflows.py", line 3168, in qlCashFlowsNpv
    return ql.CashFlows.npv(
           ~~~~~~~~~~~~~~~~^
        to_object_list(leg, ql.CashFlow),
        ^^^^^^^^^^^^^^^^^^^^^^^^^^^^^^^^^
    ...&lt;3 lines&gt;...
        npv_date,
        ^^^^^^^^^
    )
    ^
  File "C:\Users\kerst\.conda\envs\qlxloil\Lib\site-packages\QuantLib\QuantLib.py", line 15299, in npv
    return _QuantLib.CashFlows_npv(*args)
           ~~~~~~~~~~~~~~~~~~~~~~~^^^^^^^
TypeError: Wrong number or type of arguments for overloaded function 'CashFlows_npv'.
  Possible C/C++ prototypes are:
    CashFlows::npv(Leg const &amp;,YieldTermStructure const &amp;,bool,Date const &amp;,Date const &amp;)
    CashFlows::npv(Leg const &amp;,YieldTermStructure const &amp;,bool,Date const &amp;)
    CashFlows::npv(Leg const &amp;,YieldTermStructure const &amp;,bool)
    CashFlows::npv(Leg const &amp;,Handle&lt; YieldTermStructure &gt; const &amp;,bool,Date const &amp;,Date const &amp;)
    CashFlows::npv(Leg const &amp;,Handle&lt; YieldTermStructure &gt; const &amp;,bool,Date const &amp;)
    CashFlows::npv(Leg const &amp;,Handle&lt; YieldTermStructure &gt; const &amp;,bool)
    CashFlows::npv(Leg const &amp;,InterestRate const &amp;,bool,Date,Date)
    CashFlows::npv(Leg const &amp;,InterestRate const &amp;,bool,Date)
    CashFlows::npv(Leg const &amp;,InterestRate const &amp;,bool)
    CashFlows::npv(Leg const &amp;,Rate,DayCounter const &amp;,Compounding,Frequency,bool,Date,Date)
    CashFlows::npv(Leg const &amp;,Rate,DayCounter const &amp;,Compounding,Frequency,bool,Date)
    CashFlows::npv(Leg const &amp;,Rate,DayCounter const &amp;,Compounding,Frequency,bool)
    CashFlows::npv(Leg const &amp;,ext::shared_ptr&lt; YieldTermStructure &gt; const &amp;,Spread,Compounding,Frequency,ext::optional&lt; bool &gt;,Date const &amp;,Date const &amp;)
    CashFlows::npv(Leg const &amp;,ext::shared_ptr&lt; YieldTermStructure &gt; const &amp;,Spread,Compounding,Frequency,ext::optional&lt; bool &gt;,Date const &amp;)
    CashFlows::npv(Leg const &amp;,ext::shared_ptr&lt; YieldTermStructure &gt; const &amp;,Spread,Compounding,Frequency,ext::optional&lt; bool &gt;)
    CashFlows::npv(Leg const &amp;,ext::shared_ptr&lt; YieldTermStructure &gt; const &amp;,Spread,Compounding,Frequency)
    CashFlows::npv(Leg const &amp;,ext::shared_ptr&lt; YieldTermStructure &gt; const &amp;,Spread,DayCounter const &amp;,Compounding,Frequency,bool,Date const &amp;,Date const &amp;)
    CashFlows::npv(Leg const &amp;,ext::shared_ptr&lt; YieldTermStructure &gt; const &amp;,Spread,DayCounter const &amp;,Compounding,Frequency,bool,Date const &amp;)
    CashFlows::npv(Leg const &amp;,ext::shared_ptr&lt; YieldTermStructure &gt; const &amp;,Spread,DayCounter const &amp;,Compounding,Frequency,bool)
</v>
      </c>
    </row>
    <row r="31" spans="1:9">
      <c r="A31" t="s">
        <v>59</v>
      </c>
      <c r="B31" t="str">
        <f t="array" aca="1" ref="B31" ca="1">_xll.qlCashFlowsBps(_xlfn.ANCHORARRAY(B20),B4,TRUE)</f>
        <v xml:space="preserve">TypeError: TypeError: Wrong number or type of arguments for overloaded function 'CashFlows_bps'.
  Possible C/C++ prototypes are:
    CashFlows::bps(Leg const &amp;,YieldTermStructure const &amp;,bool,Date const &amp;,Date const &amp;)
    CashFlows::bps(Leg const &amp;,YieldTermStructure const &amp;,bool,Date const &amp;)
    CashFlows::bps(Leg const &amp;,YieldTermStructure const &amp;,bool)
    CashFlows::bps(Leg const &amp;,Handle&lt; YieldTermStructure &gt; const &amp;,bool,Date const &amp;,Date const &amp;)
    CashFlows::bps(Leg const &amp;,Handle&lt; YieldTermStructure &gt; const &amp;,bool,Date const &amp;)
    CashFlows::bps(Leg const &amp;,Handle&lt; YieldTermStructure &gt; const &amp;,bool)
    CashFlows::bps(Leg const &amp;,InterestRate const &amp;,bool,Date,Date)
    CashFlows::bps(Leg const &amp;,InterestRate const &amp;,bool,Date)
    CashFlows::bps(Leg const &amp;,InterestRate const &amp;,bool)
    CashFlows::bps(Leg const &amp;,Rate,DayCounter const &amp;,Compounding,Frequency,bool,Date,Date)
    CashFlows::bps(Leg const &amp;,Rate,DayCounter const &amp;,Compounding,Frequency,bool,Date)
    CashFlows::bps(Leg const &amp;,Rate,DayCounter const &amp;,Compounding,Frequency,bool)
Traceback (most recent call last):
  File "C:\Users\kerst\Desktop\FRAME\Pricing Software\Quantlib\QuantLibXlOil\src\quantlib_xloil\cashflows.py", line 3301, in qlCashFlowsBps
    return ql.CashFlows.bps(
           ~~~~~~~~~~~~~~~~^
        to_object_list(leg, ql.CashFlow),
        ^^^^^^^^^^^^^^^^^^^^^^^^^^^^^^^^^
    ...&lt;3 lines&gt;...
        npv_date,
        ^^^^^^^^^
    )
    ^
  File "C:\Users\kerst\.conda\envs\qlxloil\Lib\site-packages\QuantLib\QuantLib.py", line 15309, in bps
    return _QuantLib.CashFlows_bps(*args)
           ~~~~~~~~~~~~~~~~~~~~~~~^^^^^^^
TypeError: Wrong number or type of arguments for overloaded function 'CashFlows_bps'.
  Possible C/C++ prototypes are:
    CashFlows::bps(Leg const &amp;,YieldTermStructure const &amp;,bool,Date const &amp;,Date const &amp;)
    CashFlows::bps(Leg const &amp;,YieldTermStructure const &amp;,bool,Date const &amp;)
    CashFlows::bps(Leg const &amp;,YieldTermStructure const &amp;,bool)
    CashFlows::bps(Leg const &amp;,Handle&lt; YieldTermStructure &gt; const &amp;,bool,Date const &amp;,Date const &amp;)
    CashFlows::bps(Leg const &amp;,Handle&lt; YieldTermStructure &gt; const &amp;,bool,Date const &amp;)
    CashFlows::bps(Leg const &amp;,Handle&lt; YieldTermStructure &gt; const &amp;,bool)
    CashFlows::bps(Leg const &amp;,InterestRate const &amp;,bool,Date,Date)
    CashFlows::bps(Leg const &amp;,InterestRate const &amp;,bool,Date)
    CashFlows::bps(Leg const &amp;,InterestRate const &amp;,bool)
    CashFlows::bps(Leg const &amp;,Rate,DayCounter const &amp;,Compounding,Frequency,bool,Date,Date)
    CashFlows::bps(Leg const &amp;,Rate,DayCounter const &amp;,Compounding,Frequency,bool,Date)
    CashFlows::bps(Leg const &amp;,Rate,DayCounter const &amp;,Compounding,Frequency,bool)
</v>
      </c>
    </row>
    <row r="32" spans="1:9">
      <c r="A32" t="s">
        <v>60</v>
      </c>
      <c r="B32" t="str">
        <f t="array" aca="1" ref="B32:B33" ca="1">_xll.qlCashFlowsNpvBps(_xlfn.ANCHORARRAY(B20),B4,TRUE)</f>
        <v xml:space="preserve">TypeError: TypeError: Wrong number or type of arguments for overloaded function 'CashFlows_npvbps'.
  Possible C/C++ prototypes are:
    CashFlows::npvbps(Leg const &amp;,YieldTermStructure const &amp;,bool,Date const &amp;,Date const &amp;)
    CashFlows::npvbps(Leg const &amp;,YieldTermStructure const &amp;,bool,Date const &amp;)
    CashFlows::npvbps(Leg const &amp;,YieldTermStructure const &amp;,bool)
    CashFlows::npvbps(Leg const &amp;,Handle&lt; YieldTermStructure &gt; const &amp;,bool,Date const &amp;,Date const &amp;)
    CashFlows::npvbps(Leg const &amp;,Handle&lt; YieldTermStructure &gt; const &amp;,bool,Date const &amp;)
    CashFlows::CashFlows_npvbps__SWIG_3(Leg const &amp;,Handle&lt; YieldTermStructure &gt; const &amp;,bool)
Traceback (most recent call last):
  File "C:\Users\kerst\Desktop\FRAME\Pricing Software\Quantlib\QuantLibXlOil\src\quantlib_xloil\cashflows.py", line 3394, in qlCashFlowsNpvBps
    npv, bps = ql.CashFlows.npvbps(
               ~~~~~~~~~~~~~~~~~~~^
        to_object_list(leg, ql.CashFlow),
        ^^^^^^^^^^^^^^^^^^^^^^^^^^^^^^^^^
    ...&lt;3 lines&gt;...
        npv_date,
        ^^^^^^^^^
    )
    ^
  File "C:\Users\kerst\.conda\envs\qlxloil\Lib\site-packages\QuantLib\QuantLib.py", line 15317, in npvbps
    return _QuantLib.CashFlows_npvbps(*args)
           ~~~~~~~~~~~~~~~~~~~~~~~~~~^^^^^^^
TypeError: Wrong number or type of arguments for overloaded function 'CashFlows_npvbps'.
  Possible C/C++ prototypes are:
    CashFlows::npvbps(Leg const &amp;,YieldTermStructure const &amp;,bool,Date const &amp;,Date const &amp;)
    CashFlows::npvbps(Leg const &amp;,YieldTermStructure const &amp;,bool,Date const &amp;)
    CashFlows::npvbps(Leg const &amp;,YieldTermStructure const &amp;,bool)
    CashFlows::npvbps(Leg const &amp;,Handle&lt; YieldTermStructure &gt; const &amp;,bool,Date const &amp;,Date const &amp;)
    CashFlows::npvbps(Leg const &amp;,Handle&lt; YieldTermStructure &gt; const &amp;,bool,Date const &amp;)
    CashFlows::CashFlows_npvbps__SWIG_3(Leg const &amp;,Handle&lt; YieldTermStructure &gt; const &amp;,bool)
</v>
      </c>
    </row>
    <row r="33" spans="2:2">
      <c r="B33" t="str">
        <f ca="1"/>
        <v xml:space="preserve">TypeError: TypeError: Wrong number or type of arguments for overloaded function 'CashFlows_npvbps'.
  Possible C/C++ prototypes are:
    CashFlows::npvbps(Leg const &amp;,YieldTermStructure const &amp;,bool,Date const &amp;,Date const &amp;)
    CashFlows::npvbps(Leg const &amp;,YieldTermStructure const &amp;,bool,Date const &amp;)
    CashFlows::npvbps(Leg const &amp;,YieldTermStructure const &amp;,bool)
    CashFlows::npvbps(Leg const &amp;,Handle&lt; YieldTermStructure &gt; const &amp;,bool,Date const &amp;,Date const &amp;)
    CashFlows::npvbps(Leg const &amp;,Handle&lt; YieldTermStructure &gt; const &amp;,bool,Date const &amp;)
    CashFlows::CashFlows_npvbps__SWIG_3(Leg const &amp;,Handle&lt; YieldTermStructure &gt; const &amp;,bool)
Traceback (most recent call last):
  File "C:\Users\kerst\Desktop\FRAME\Pricing Software\Quantlib\QuantLibXlOil\src\quantlib_xloil\cashflows.py", line 3394, in qlCashFlowsNpvBps
    npv, bps = ql.CashFlows.npvbps(
               ~~~~~~~~~~~~~~~~~~~^
        to_object_list(leg, ql.CashFlow),
        ^^^^^^^^^^^^^^^^^^^^^^^^^^^^^^^^^
    ...&lt;3 lines&gt;...
        npv_date,
        ^^^^^^^^^
    )
    ^
  File "C:\Users\kerst\.conda\envs\qlxloil\Lib\site-packages\QuantLib\QuantLib.py", line 15317, in npvbps
    return _QuantLib.CashFlows_npvbps(*args)
           ~~~~~~~~~~~~~~~~~~~~~~~~~~^^^^^^^
TypeError: Wrong number or type of arguments for overloaded function 'CashFlows_npvbps'.
  Possible C/C++ prototypes are:
    CashFlows::npvbps(Leg const &amp;,YieldTermStructure const &amp;,bool,Date const &amp;,Date const &amp;)
    CashFlows::npvbps(Leg const &amp;,YieldTermStructure const &amp;,bool,Date const &amp;)
    CashFlows::npvbps(Leg const &amp;,YieldTermStructure const &amp;,bool)
    CashFlows::npvbps(Leg const &amp;,Handle&lt; YieldTermStructure &gt; const &amp;,bool,Date const &amp;,Date const &amp;)
    CashFlows::npvbps(Leg const &amp;,Handle&lt; YieldTermStructure &gt; const &amp;,bool,Date const &amp;)
    CashFlows::CashFlows_npvbps__SWIG_3(Leg const &amp;,Handle&lt; YieldTermStructure &gt; const &amp;,bool)
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07CC9-AEF0-4A4C-9951-6D8BCB14E3D2}">
  <dimension ref="A1:C4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" sqref="B1"/>
    </sheetView>
  </sheetViews>
  <sheetFormatPr baseColWidth="10" defaultRowHeight="14.25"/>
  <cols>
    <col min="1" max="1" width="40.125" bestFit="1" customWidth="1"/>
    <col min="2" max="2" width="58.75" style="8" bestFit="1" customWidth="1"/>
    <col min="3" max="3" width="58.62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>
        <f>_xll.qlSettingsSetEvaluationDate(B1)</f>
        <v>45293</v>
      </c>
    </row>
    <row r="4" spans="1:3">
      <c r="A4" s="15" t="s">
        <v>111</v>
      </c>
      <c r="B4" s="16">
        <v>45659</v>
      </c>
      <c r="C4" s="17">
        <v>45659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45475</v>
      </c>
      <c r="C6" s="22">
        <v>45475</v>
      </c>
    </row>
    <row r="7" spans="1:3">
      <c r="A7" s="18" t="s">
        <v>113</v>
      </c>
      <c r="B7" s="21">
        <v>45659</v>
      </c>
      <c r="C7" s="22">
        <v>45659</v>
      </c>
    </row>
    <row r="8" spans="1:3">
      <c r="A8" s="18" t="s">
        <v>114</v>
      </c>
      <c r="B8" s="19">
        <v>2</v>
      </c>
      <c r="C8" s="20">
        <v>2</v>
      </c>
    </row>
    <row r="9" spans="1:3">
      <c r="A9" s="9" t="s">
        <v>124</v>
      </c>
      <c r="B9" s="10" t="str">
        <f>_xll.qlFlatForward($B$1,0.02,"actual365fixed",,,B2)</f>
        <v>欣[test_cashflows.xlsx]IborCoupon!R9C2YieldTermStructureHandle,A</v>
      </c>
      <c r="C9" s="11" t="str">
        <f>_xll.qlFlatForward($B$1,0.02,"actual365fixed",,,C2)</f>
        <v>欣[test_cashflows.xlsx]IborCoupon!R9C3YieldTermStructureHandle,A</v>
      </c>
    </row>
    <row r="10" spans="1:3">
      <c r="A10" s="12" t="s">
        <v>115</v>
      </c>
      <c r="B10" s="13" t="str">
        <f>_xll.qlEuribor("6M",B9,B9)</f>
        <v>欣[test_cashflows.xlsx]IborCoupon!R10C2Euribor,A</v>
      </c>
      <c r="C10" s="14" t="str">
        <f>_xll.qlEuribor("6M",C9,C9)</f>
        <v>欣[test_cashflows.xlsx]IborCoupon!R10C3Euribor,A</v>
      </c>
    </row>
    <row r="11" spans="1:3">
      <c r="A11" s="18" t="s">
        <v>116</v>
      </c>
      <c r="B11" s="19"/>
      <c r="C11" s="20">
        <v>1</v>
      </c>
    </row>
    <row r="12" spans="1:3">
      <c r="A12" s="18" t="s">
        <v>117</v>
      </c>
      <c r="B12" s="19"/>
      <c r="C12" s="20">
        <v>1E-3</v>
      </c>
    </row>
    <row r="13" spans="1:3">
      <c r="A13" s="18" t="s">
        <v>118</v>
      </c>
      <c r="B13" s="19"/>
      <c r="C13" s="22">
        <v>45475</v>
      </c>
    </row>
    <row r="14" spans="1:3">
      <c r="A14" s="18" t="s">
        <v>119</v>
      </c>
      <c r="B14" s="19"/>
      <c r="C14" s="22">
        <v>45659</v>
      </c>
    </row>
    <row r="15" spans="1:3">
      <c r="A15" s="18" t="s">
        <v>120</v>
      </c>
      <c r="B15" s="19"/>
      <c r="C15" s="20" t="s">
        <v>127</v>
      </c>
    </row>
    <row r="16" spans="1:3">
      <c r="A16" s="18" t="s">
        <v>121</v>
      </c>
      <c r="B16" s="19"/>
      <c r="C16" s="20" t="b">
        <v>0</v>
      </c>
    </row>
    <row r="17" spans="1:3">
      <c r="A17" s="18" t="s">
        <v>122</v>
      </c>
      <c r="B17" s="19"/>
      <c r="C17" s="22">
        <v>45659</v>
      </c>
    </row>
    <row r="18" spans="1:3">
      <c r="A18" s="18" t="s">
        <v>123</v>
      </c>
      <c r="B18" s="19"/>
      <c r="C18" s="20" t="s">
        <v>128</v>
      </c>
    </row>
    <row r="19" spans="1:3" ht="15">
      <c r="A19" s="23" t="s">
        <v>28</v>
      </c>
      <c r="B19" s="13" t="str">
        <f>_xll.qlIborCoupon(B4,B5,B6,B7,B8,B10,,,,,,,,,B10)</f>
        <v>欣[test_cashflows.xlsx]IborCoupon!R19C2IborCoupon,A</v>
      </c>
      <c r="C19" s="14" t="str">
        <f>_xll.qlIborCoupon(C4,C5,C6,C7,C8,C10,C11,C12,C13,C14,C15,C16,C17,C18)</f>
        <v>欣[test_cashflows.xlsx]IborCoupon!R19C3IborCoupon,A</v>
      </c>
    </row>
    <row r="20" spans="1:3" ht="15">
      <c r="A20" s="29" t="s">
        <v>61</v>
      </c>
      <c r="B20" s="19">
        <f>_xll.qlCouponNominal(B19)</f>
        <v>100</v>
      </c>
      <c r="C20" s="20">
        <f>_xll.qlCouponNominal(C19)</f>
        <v>100</v>
      </c>
    </row>
    <row r="21" spans="1:3" ht="15">
      <c r="A21" s="24" t="s">
        <v>62</v>
      </c>
      <c r="B21" s="25">
        <f>_xll.qlCouponAccrualStartDate(B19)</f>
        <v>45475</v>
      </c>
      <c r="C21" s="26">
        <f>_xll.qlCouponAccrualStartDate(C19)</f>
        <v>45475</v>
      </c>
    </row>
    <row r="22" spans="1:3" ht="15">
      <c r="A22" s="29" t="s">
        <v>63</v>
      </c>
      <c r="B22" s="21">
        <f>_xll.qlCouponAccrualEndDate(B19)</f>
        <v>45659</v>
      </c>
      <c r="C22" s="22">
        <f>_xll.qlCouponAccrualEndDate(C19)</f>
        <v>45659</v>
      </c>
    </row>
    <row r="23" spans="1:3" ht="15">
      <c r="A23" s="24" t="s">
        <v>64</v>
      </c>
      <c r="B23" s="25">
        <f>_xll.qlCouponReferencePeriodStart(B19)</f>
        <v>45475</v>
      </c>
      <c r="C23" s="26">
        <f>_xll.qlCouponReferencePeriodStart(C19)</f>
        <v>45475</v>
      </c>
    </row>
    <row r="24" spans="1:3" ht="15">
      <c r="A24" s="29" t="s">
        <v>65</v>
      </c>
      <c r="B24" s="21">
        <f>_xll.qlCouponReferencePeriodEnd(B19)</f>
        <v>45659</v>
      </c>
      <c r="C24" s="22">
        <f>_xll.qlCouponReferencePeriodEnd(C19)</f>
        <v>45659</v>
      </c>
    </row>
    <row r="25" spans="1:3" ht="15">
      <c r="A25" s="24" t="s">
        <v>66</v>
      </c>
      <c r="B25" s="27">
        <f>_xll.qlCouponExCouponDate(B19)</f>
        <v>0</v>
      </c>
      <c r="C25" s="26">
        <f>_xll.qlCouponExCouponDate(C19)</f>
        <v>45659</v>
      </c>
    </row>
    <row r="26" spans="1:3" ht="15">
      <c r="A26" s="29" t="s">
        <v>67</v>
      </c>
      <c r="B26" s="19">
        <f>_xll.qlCouponRate(B19)</f>
        <v>1.9825803230683253E-2</v>
      </c>
      <c r="C26" s="20">
        <f>_xll.qlCouponRate(C19)</f>
        <v>2.0825803230683254E-2</v>
      </c>
    </row>
    <row r="27" spans="1:3" ht="15">
      <c r="A27" s="29" t="s">
        <v>68</v>
      </c>
      <c r="B27" s="19">
        <f>_xll.qlCouponAccrualPeriod(B19)</f>
        <v>0.51111111111111107</v>
      </c>
      <c r="C27" s="20">
        <f>_xll.qlCouponAccrualPeriod(C19)</f>
        <v>0.50410958904109593</v>
      </c>
    </row>
    <row r="28" spans="1:3" ht="15">
      <c r="A28" s="29" t="s">
        <v>69</v>
      </c>
      <c r="B28" s="19">
        <f>_xll.qlCouponAccrualDays(B19)</f>
        <v>184</v>
      </c>
      <c r="C28" s="20">
        <f>_xll.qlCouponAccrualDays(C19)</f>
        <v>184</v>
      </c>
    </row>
    <row r="29" spans="1:3" ht="15">
      <c r="A29" s="24" t="s">
        <v>70</v>
      </c>
      <c r="B29" s="27" t="str">
        <f>_xll.qlCouponDayCounter(B19)</f>
        <v>Actual/360</v>
      </c>
      <c r="C29" s="28" t="str">
        <f>_xll.qlCouponDayCounter(C19)</f>
        <v>Actual/365 (Fixed)</v>
      </c>
    </row>
    <row r="30" spans="1:3" ht="15">
      <c r="A30" s="29" t="s">
        <v>71</v>
      </c>
      <c r="B30" s="19">
        <f>_xll.qlCouponAccruedAmount(B19,"01.10.2024")</f>
        <v>0</v>
      </c>
      <c r="C30" s="20">
        <f>_xll.qlCouponAccruedAmount(C19,"01.10.2024")</f>
        <v>0</v>
      </c>
    </row>
    <row r="31" spans="1:3" ht="15">
      <c r="A31" s="24" t="s">
        <v>72</v>
      </c>
      <c r="B31" s="25">
        <f>_xll.qlFloatingRateCouponFixingDate(B19)</f>
        <v>45471</v>
      </c>
      <c r="C31" s="26">
        <f>_xll.qlFloatingRateCouponFixingDate(C19)</f>
        <v>45471</v>
      </c>
    </row>
    <row r="32" spans="1:3" ht="15">
      <c r="A32" s="29" t="s">
        <v>73</v>
      </c>
      <c r="B32" s="19">
        <f>_xll.qlFloatingRateCouponFixingDays(B19)</f>
        <v>2</v>
      </c>
      <c r="C32" s="20">
        <f>_xll.qlFloatingRateCouponFixingDays(C19)</f>
        <v>2</v>
      </c>
    </row>
    <row r="33" spans="1:3" ht="15">
      <c r="A33" s="24" t="s">
        <v>129</v>
      </c>
      <c r="B33" s="27" t="str">
        <f>_xll.qlFloatingRateCouponFixingConvention(B19)</f>
        <v>PRECEDING</v>
      </c>
      <c r="C33" s="28" t="str">
        <f>_xll.qlFloatingRateCouponFixingConvention(C19)</f>
        <v>FOLLOWING</v>
      </c>
    </row>
    <row r="34" spans="1:3" ht="15">
      <c r="A34" s="29" t="s">
        <v>74</v>
      </c>
      <c r="B34" s="19" t="b">
        <f>_xll.qlFloatingRateCouponIsInArrears(B19)</f>
        <v>0</v>
      </c>
      <c r="C34" s="20" t="b">
        <f>_xll.qlFloatingRateCouponIsInArrears(C19)</f>
        <v>0</v>
      </c>
    </row>
    <row r="35" spans="1:3" ht="15">
      <c r="A35" s="24" t="s">
        <v>75</v>
      </c>
      <c r="B35" s="27">
        <f>_xll.qlFloatingRateCouponGearing(B19)</f>
        <v>1</v>
      </c>
      <c r="C35" s="28">
        <f>_xll.qlFloatingRateCouponGearing(C19)</f>
        <v>1</v>
      </c>
    </row>
    <row r="36" spans="1:3" ht="15">
      <c r="A36" s="29" t="s">
        <v>76</v>
      </c>
      <c r="B36" s="19">
        <f>_xll.qlFloatingRateCouponSpread(B19)</f>
        <v>0</v>
      </c>
      <c r="C36" s="20">
        <f>_xll.qlFloatingRateCouponSpread(C19)</f>
        <v>1E-3</v>
      </c>
    </row>
    <row r="37" spans="1:3" ht="15">
      <c r="A37" s="24" t="s">
        <v>77</v>
      </c>
      <c r="B37" s="27">
        <f>_xll.qlFloatingRateCouponIndexFixing(B19)</f>
        <v>1.9825803230683253E-2</v>
      </c>
      <c r="C37" s="28">
        <f>_xll.qlFloatingRateCouponIndexFixing(C19)</f>
        <v>1.9825803230683253E-2</v>
      </c>
    </row>
    <row r="38" spans="1:3" ht="15">
      <c r="A38" s="29" t="s">
        <v>78</v>
      </c>
      <c r="B38" s="19">
        <f>_xll.qlFloatingRateCouponAdjustedFixing(B19)</f>
        <v>1.9825803230683253E-2</v>
      </c>
      <c r="C38" s="20">
        <f>_xll.qlFloatingRateCouponAdjustedFixing(C19)</f>
        <v>1.9825803230683253E-2</v>
      </c>
    </row>
    <row r="39" spans="1:3" ht="15">
      <c r="A39" s="24" t="s">
        <v>79</v>
      </c>
      <c r="B39" s="27">
        <f>_xll.qlFloatingRateCouponConvexityAdjustment(B19)</f>
        <v>0</v>
      </c>
      <c r="C39" s="28">
        <f>_xll.qlFloatingRateCouponConvexityAdjustment(C19)</f>
        <v>0</v>
      </c>
    </row>
    <row r="40" spans="1:3">
      <c r="A40" s="30" t="s">
        <v>124</v>
      </c>
      <c r="B40" s="19" t="str">
        <f>_xll.qlFlatForward($B$1,0.02,"actual365fixed",,,B2)</f>
        <v>欣[test_cashflows.xlsx]IborCoupon!R40C2YieldTermStructureHandle,A</v>
      </c>
      <c r="C40" s="20" t="str">
        <f>_xll.qlFlatForward($B$1,0.02,"actual365fixed",,,C2)</f>
        <v>欣[test_cashflows.xlsx]IborCoupon!R40C3YieldTermStructureHandle,A</v>
      </c>
    </row>
    <row r="41" spans="1:3" ht="15">
      <c r="A41" s="29" t="s">
        <v>80</v>
      </c>
      <c r="B41" s="19">
        <f>_xll.qlFloatingRateCouponPrice(B19,B40)</f>
        <v>0.99319935118448277</v>
      </c>
      <c r="C41" s="20">
        <f>_xll.qlFloatingRateCouponPrice(C19,C40)</f>
        <v>1.0290039281841983</v>
      </c>
    </row>
    <row r="42" spans="1:3" ht="15">
      <c r="A42" s="24" t="s">
        <v>81</v>
      </c>
      <c r="B42" s="27" t="str">
        <f>_xll.qlFloatingRateCouponIndex(B19)</f>
        <v>欣[test_cashflows.xlsx]IborCoupon!R42C2InterestRateIndex,A</v>
      </c>
      <c r="C42" s="28" t="str">
        <f>_xll.qlFloatingRateCouponIndex(C19)</f>
        <v>欣[test_cashflows.xlsx]IborCoupon!R42C3InterestRateIndex,A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259-FAC1-4E17-BD03-57F889346F6F}">
  <dimension ref="A1:C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" sqref="B1"/>
    </sheetView>
  </sheetViews>
  <sheetFormatPr baseColWidth="10" defaultRowHeight="14.25"/>
  <cols>
    <col min="1" max="1" width="40.125" bestFit="1" customWidth="1"/>
    <col min="2" max="2" width="73" style="8" bestFit="1" customWidth="1"/>
    <col min="3" max="3" width="78.12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>
        <f>_xll.qlSettingsSetEvaluationDate(B1)</f>
        <v>45293</v>
      </c>
    </row>
    <row r="4" spans="1:3">
      <c r="A4" s="15" t="s">
        <v>111</v>
      </c>
      <c r="B4" s="16">
        <v>45659</v>
      </c>
      <c r="C4" s="17">
        <v>45659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45475</v>
      </c>
      <c r="C6" s="22">
        <v>45475</v>
      </c>
    </row>
    <row r="7" spans="1:3">
      <c r="A7" s="18" t="s">
        <v>113</v>
      </c>
      <c r="B7" s="21">
        <v>45659</v>
      </c>
      <c r="C7" s="22">
        <v>45659</v>
      </c>
    </row>
    <row r="8" spans="1:3">
      <c r="A8" s="18" t="s">
        <v>114</v>
      </c>
      <c r="B8" s="19">
        <v>2</v>
      </c>
      <c r="C8" s="20">
        <v>2</v>
      </c>
    </row>
    <row r="9" spans="1:3">
      <c r="A9" s="9" t="s">
        <v>124</v>
      </c>
      <c r="B9" s="10" t="str">
        <f>_xll.qlFlatForward($B$1,0.02,"actual365fixed",,,B2)</f>
        <v>欣[test_cashflows.xlsx]CappedFlooredIborCoupon!R9C2YieldTermStructureHandle,A</v>
      </c>
      <c r="C9" s="11" t="str">
        <f>_xll.qlFlatForward($B$1,0.02,"actual365fixed",,,C2)</f>
        <v>欣[test_cashflows.xlsx]CappedFlooredIborCoupon!R9C3YieldTermStructureHandle,A</v>
      </c>
    </row>
    <row r="10" spans="1:3">
      <c r="A10" s="12" t="s">
        <v>115</v>
      </c>
      <c r="B10" s="13" t="str">
        <f>_xll.qlEuribor("6M",B9,B9)</f>
        <v>欣[test_cashflows.xlsx]CappedFlooredIborCoupon!R10C2Euribor,A</v>
      </c>
      <c r="C10" s="14" t="str">
        <f>_xll.qlEuribor("6M",C9,C9)</f>
        <v>欣[test_cashflows.xlsx]CappedFlooredIborCoupon!R10C3Euribor,A</v>
      </c>
    </row>
    <row r="11" spans="1:3">
      <c r="A11" s="18" t="s">
        <v>116</v>
      </c>
      <c r="B11" s="19"/>
      <c r="C11" s="20">
        <v>1</v>
      </c>
    </row>
    <row r="12" spans="1:3">
      <c r="A12" s="18" t="s">
        <v>117</v>
      </c>
      <c r="B12" s="19"/>
      <c r="C12" s="20">
        <v>1E-3</v>
      </c>
    </row>
    <row r="13" spans="1:3">
      <c r="A13" s="18" t="s">
        <v>30</v>
      </c>
      <c r="B13" s="19"/>
      <c r="C13" s="20">
        <v>0.06</v>
      </c>
    </row>
    <row r="14" spans="1:3">
      <c r="A14" s="18" t="s">
        <v>31</v>
      </c>
      <c r="B14" s="19"/>
      <c r="C14" s="20">
        <v>0.01</v>
      </c>
    </row>
    <row r="15" spans="1:3">
      <c r="A15" s="18" t="s">
        <v>118</v>
      </c>
      <c r="B15" s="19"/>
      <c r="C15" s="22">
        <v>45475</v>
      </c>
    </row>
    <row r="16" spans="1:3">
      <c r="A16" s="18" t="s">
        <v>119</v>
      </c>
      <c r="B16" s="19"/>
      <c r="C16" s="22">
        <v>45659</v>
      </c>
    </row>
    <row r="17" spans="1:3">
      <c r="A17" s="18" t="s">
        <v>120</v>
      </c>
      <c r="B17" s="19"/>
      <c r="C17" s="20" t="s">
        <v>127</v>
      </c>
    </row>
    <row r="18" spans="1:3">
      <c r="A18" s="18" t="s">
        <v>121</v>
      </c>
      <c r="B18" s="19"/>
      <c r="C18" s="20" t="b">
        <v>0</v>
      </c>
    </row>
    <row r="19" spans="1:3">
      <c r="A19" s="18" t="s">
        <v>130</v>
      </c>
      <c r="B19" s="19"/>
      <c r="C19" s="22">
        <v>45659</v>
      </c>
    </row>
    <row r="20" spans="1:3" ht="15">
      <c r="A20" s="23" t="s">
        <v>32</v>
      </c>
      <c r="B20" s="13" t="str">
        <f>_xll.qlCappedFlooredIborCoupon(B4,B5,B6,B7,B8,B10,,,,,,,,,B10)</f>
        <v>欣[test_cashflows.xlsx]CappedFlooredIborCoupon!R20C2CappedFlooredIborCoupon,A</v>
      </c>
      <c r="C20" s="14" t="str">
        <f>_xll.qlCappedFlooredIborCoupon(C4,C5,C6,C7,C8,C10,C11,C12,C13,C14,C15,C16,C17,C18,C19)</f>
        <v>欣[test_cashflows.xlsx]CappedFlooredIborCoupon!R20C3CappedFlooredIborCoupon,A</v>
      </c>
    </row>
    <row r="21" spans="1:3">
      <c r="A21" s="31" t="s">
        <v>133</v>
      </c>
      <c r="B21" s="19"/>
      <c r="C21" s="20" t="str">
        <f>_xll.qlConstantOptionletVolatility($B$1,"TARGET","ModifiedFollowing",0.2,"actual360",,,C20)</f>
        <v>欣[test_cashflows.xlsx]CappedFlooredIborCoupon!R21C3OptionletVolatilityStructureHandle,A</v>
      </c>
    </row>
    <row r="22" spans="1:3" ht="15">
      <c r="A22" s="29" t="s">
        <v>131</v>
      </c>
      <c r="B22" s="19" t="str">
        <f>_xll.qlBlackIborCouponPricer()</f>
        <v>欣[test_cashflows.xlsx]CappedFlooredIborCoupon!R22C2BlackIborCouponPricer,A</v>
      </c>
      <c r="C22" s="20" t="str">
        <f>_xll.qlBlackIborCouponPricer(C21)</f>
        <v>欣[test_cashflows.xlsx]CappedFlooredIborCoupon!R22C3BlackIborCouponPricer,A</v>
      </c>
    </row>
    <row r="23" spans="1:3" ht="15">
      <c r="A23" s="24" t="s">
        <v>132</v>
      </c>
      <c r="B23" s="27" t="b">
        <f>_xll.qlFloatingRateCouponSetPricer(B20,B22)</f>
        <v>1</v>
      </c>
      <c r="C23" s="28" t="b">
        <f>_xll.qlFloatingRateCouponSetPricer(C20,C22)</f>
        <v>1</v>
      </c>
    </row>
    <row r="24" spans="1:3" ht="15">
      <c r="A24" s="29" t="s">
        <v>61</v>
      </c>
      <c r="B24" s="19">
        <f>_xll.qlCouponNominal(B20,B23)</f>
        <v>100</v>
      </c>
      <c r="C24" s="20">
        <f>_xll.qlCouponNominal(C20,C23)</f>
        <v>100</v>
      </c>
    </row>
    <row r="25" spans="1:3" ht="15">
      <c r="A25" s="24" t="s">
        <v>62</v>
      </c>
      <c r="B25" s="25">
        <f>_xll.qlCouponAccrualStartDate(B20,B23)</f>
        <v>45475</v>
      </c>
      <c r="C25" s="26">
        <f>_xll.qlCouponAccrualStartDate(C20,C23)</f>
        <v>45475</v>
      </c>
    </row>
    <row r="26" spans="1:3" ht="15">
      <c r="A26" s="29" t="s">
        <v>63</v>
      </c>
      <c r="B26" s="21">
        <f>_xll.qlCouponAccrualEndDate(B20,B23)</f>
        <v>45659</v>
      </c>
      <c r="C26" s="22">
        <f>_xll.qlCouponAccrualEndDate(C20,C23)</f>
        <v>45659</v>
      </c>
    </row>
    <row r="27" spans="1:3" ht="15">
      <c r="A27" s="24" t="s">
        <v>64</v>
      </c>
      <c r="B27" s="25">
        <f>_xll.qlCouponReferencePeriodStart(B20,B23)</f>
        <v>45475</v>
      </c>
      <c r="C27" s="26">
        <f>_xll.qlCouponReferencePeriodStart(C20,C23)</f>
        <v>45475</v>
      </c>
    </row>
    <row r="28" spans="1:3" ht="15">
      <c r="A28" s="29" t="s">
        <v>65</v>
      </c>
      <c r="B28" s="21">
        <f>_xll.qlCouponReferencePeriodEnd(B20,B23)</f>
        <v>45659</v>
      </c>
      <c r="C28" s="22">
        <f>_xll.qlCouponReferencePeriodEnd(C20,C23)</f>
        <v>45659</v>
      </c>
    </row>
    <row r="29" spans="1:3" ht="15">
      <c r="A29" s="24" t="s">
        <v>66</v>
      </c>
      <c r="B29" s="27">
        <f>_xll.qlCouponExCouponDate(B20,B23)</f>
        <v>0</v>
      </c>
      <c r="C29" s="26">
        <f>_xll.qlCouponExCouponDate(C20,C23)</f>
        <v>45659</v>
      </c>
    </row>
    <row r="30" spans="1:3" ht="15">
      <c r="A30" s="29" t="s">
        <v>67</v>
      </c>
      <c r="B30" s="19">
        <f>_xll.qlCouponRate(B20,B23)</f>
        <v>1.9825803230683253E-2</v>
      </c>
      <c r="C30" s="20">
        <f>_xll.qlCouponRate(C20,C23)</f>
        <v>2.0825803233769129E-2</v>
      </c>
    </row>
    <row r="31" spans="1:3" ht="15">
      <c r="A31" s="24" t="s">
        <v>68</v>
      </c>
      <c r="B31" s="27">
        <f>_xll.qlCouponAccrualPeriod(B20,B23)</f>
        <v>0.51111111111111107</v>
      </c>
      <c r="C31" s="28">
        <f>_xll.qlCouponAccrualPeriod(C20,C23)</f>
        <v>0.50410958904109593</v>
      </c>
    </row>
    <row r="32" spans="1:3" ht="15">
      <c r="A32" s="29" t="s">
        <v>69</v>
      </c>
      <c r="B32" s="19">
        <f>_xll.qlCouponAccrualDays(B20,B23)</f>
        <v>184</v>
      </c>
      <c r="C32" s="20">
        <f>_xll.qlCouponAccrualDays(C20,C23)</f>
        <v>184</v>
      </c>
    </row>
    <row r="33" spans="1:3" ht="15">
      <c r="A33" s="24" t="s">
        <v>70</v>
      </c>
      <c r="B33" s="27" t="str">
        <f>_xll.qlCouponDayCounter(B20,B23)</f>
        <v>Actual/360</v>
      </c>
      <c r="C33" s="28" t="str">
        <f>_xll.qlCouponDayCounter(C20,C23)</f>
        <v>Actual/365 (Fixed)</v>
      </c>
    </row>
    <row r="34" spans="1:3" ht="15">
      <c r="A34" s="29" t="s">
        <v>71</v>
      </c>
      <c r="B34" s="19">
        <f>_xll.qlCouponAccruedAmount(B20,"01.10.2024",B23)</f>
        <v>0</v>
      </c>
      <c r="C34" s="20">
        <f>_xll.qlCouponAccruedAmount(C20,"01.10.2024",C23)</f>
        <v>0</v>
      </c>
    </row>
    <row r="35" spans="1:3" ht="15">
      <c r="A35" s="24" t="s">
        <v>72</v>
      </c>
      <c r="B35" s="25">
        <f>_xll.qlFloatingRateCouponFixingDate(B20,B23)</f>
        <v>45471</v>
      </c>
      <c r="C35" s="26">
        <f>_xll.qlFloatingRateCouponFixingDate(C20,C23)</f>
        <v>45471</v>
      </c>
    </row>
    <row r="36" spans="1:3" ht="15">
      <c r="A36" s="29" t="s">
        <v>73</v>
      </c>
      <c r="B36" s="19">
        <f>_xll.qlFloatingRateCouponFixingDays(B20,B23)</f>
        <v>2</v>
      </c>
      <c r="C36" s="20">
        <f>_xll.qlFloatingRateCouponFixingDays(C20,C23)</f>
        <v>2</v>
      </c>
    </row>
    <row r="37" spans="1:3" ht="15">
      <c r="A37" s="24" t="s">
        <v>129</v>
      </c>
      <c r="B37" s="27" t="str">
        <f>_xll.qlFloatingRateCouponFixingConvention(B20,B23)</f>
        <v>PRECEDING</v>
      </c>
      <c r="C37" s="28" t="str">
        <f>_xll.qlFloatingRateCouponFixingConvention(C20,C23)</f>
        <v>PRECEDING</v>
      </c>
    </row>
    <row r="38" spans="1:3" ht="15">
      <c r="A38" s="29" t="s">
        <v>74</v>
      </c>
      <c r="B38" s="19" t="b">
        <f>_xll.qlFloatingRateCouponIsInArrears(B20,B23)</f>
        <v>0</v>
      </c>
      <c r="C38" s="20" t="b">
        <f>_xll.qlFloatingRateCouponIsInArrears(C20,C23)</f>
        <v>0</v>
      </c>
    </row>
    <row r="39" spans="1:3" ht="15">
      <c r="A39" s="24" t="s">
        <v>75</v>
      </c>
      <c r="B39" s="27">
        <f>_xll.qlFloatingRateCouponGearing(B20,B23)</f>
        <v>1</v>
      </c>
      <c r="C39" s="28">
        <f>_xll.qlFloatingRateCouponGearing(C20,C23)</f>
        <v>1</v>
      </c>
    </row>
    <row r="40" spans="1:3" ht="15">
      <c r="A40" s="29" t="s">
        <v>76</v>
      </c>
      <c r="B40" s="19">
        <f>_xll.qlFloatingRateCouponSpread(B20,B23)</f>
        <v>0</v>
      </c>
      <c r="C40" s="20">
        <f>_xll.qlFloatingRateCouponSpread(C20,C23)</f>
        <v>1E-3</v>
      </c>
    </row>
    <row r="41" spans="1:3" ht="15">
      <c r="A41" s="24" t="s">
        <v>77</v>
      </c>
      <c r="B41" s="27">
        <f>_xll.qlFloatingRateCouponIndexFixing(B20,B23)</f>
        <v>1.9825803230683253E-2</v>
      </c>
      <c r="C41" s="28">
        <f>_xll.qlFloatingRateCouponIndexFixing(C20,C23)</f>
        <v>1.9825803230683253E-2</v>
      </c>
    </row>
    <row r="42" spans="1:3" ht="15">
      <c r="A42" s="29" t="s">
        <v>78</v>
      </c>
      <c r="B42" s="19">
        <f>_xll.qlFloatingRateCouponAdjustedFixing(B20,B23)</f>
        <v>1.9825803230683253E-2</v>
      </c>
      <c r="C42" s="20">
        <f>_xll.qlFloatingRateCouponAdjustedFixing(C20,C23)</f>
        <v>1.9825803233769129E-2</v>
      </c>
    </row>
    <row r="43" spans="1:3" ht="15">
      <c r="A43" s="24" t="s">
        <v>79</v>
      </c>
      <c r="B43" s="27">
        <f>_xll.qlFloatingRateCouponConvexityAdjustment(B20,B23)</f>
        <v>0</v>
      </c>
      <c r="C43" s="28">
        <f>_xll.qlFloatingRateCouponConvexityAdjustment(C20,C23)</f>
        <v>0</v>
      </c>
    </row>
    <row r="44" spans="1:3">
      <c r="A44" s="30" t="s">
        <v>124</v>
      </c>
      <c r="B44" s="19" t="str">
        <f>_xll.qlFlatForward($B$1,0.02,"actual365fixed",,,B2)</f>
        <v>欣[test_cashflows.xlsx]CappedFlooredIborCoupon!R44C2YieldTermStructureHandle,A</v>
      </c>
      <c r="C44" s="20" t="str">
        <f>_xll.qlFlatForward($B$1,0.02,"actual365fixed",,,C2)</f>
        <v>欣[test_cashflows.xlsx]CappedFlooredIborCoupon!R44C3YieldTermStructureHandle,A</v>
      </c>
    </row>
    <row r="45" spans="1:3" ht="15">
      <c r="A45" s="29" t="s">
        <v>80</v>
      </c>
      <c r="B45" s="19">
        <f>_xll.qlFloatingRateCouponPrice(B20,B44,B23)</f>
        <v>0.99319935118448277</v>
      </c>
      <c r="C45" s="20">
        <f>_xll.qlFloatingRateCouponPrice(C20,C44,C23)</f>
        <v>1.0290039283366714</v>
      </c>
    </row>
    <row r="46" spans="1:3" ht="15">
      <c r="A46" s="24" t="s">
        <v>81</v>
      </c>
      <c r="B46" s="27" t="str">
        <f>_xll.qlFloatingRateCouponIndex(B20,B23)</f>
        <v>欣[test_cashflows.xlsx]CappedFlooredIborCoupon!R46C2InterestRateIndex,A</v>
      </c>
      <c r="C46" s="28" t="str">
        <f>_xll.qlFloatingRateCouponIndex(C20,C23)</f>
        <v>欣[test_cashflows.xlsx]CappedFlooredIborCoupon!R46C3InterestRateIndex,A</v>
      </c>
    </row>
    <row r="47" spans="1:3" ht="15">
      <c r="A47" s="29" t="s">
        <v>85</v>
      </c>
      <c r="B47" s="19" t="b">
        <f>_xll.qlCappedFlooredCouponIsCapped(B20,B23)</f>
        <v>0</v>
      </c>
      <c r="C47" s="20" t="b">
        <f>_xll.qlCappedFlooredCouponIsCapped(C20,C23)</f>
        <v>1</v>
      </c>
    </row>
    <row r="48" spans="1:3" ht="15">
      <c r="A48" s="24" t="s">
        <v>86</v>
      </c>
      <c r="B48" s="27" t="b">
        <f>_xll.qlCappedFlooredCouponIsFloored(B20,B23)</f>
        <v>0</v>
      </c>
      <c r="C48" s="28" t="b">
        <f>_xll.qlCappedFlooredCouponIsFloored(C20,C23)</f>
        <v>1</v>
      </c>
    </row>
    <row r="49" spans="1:3" ht="15">
      <c r="A49" s="29" t="s">
        <v>87</v>
      </c>
      <c r="B49" s="19">
        <f>_xll.qlCappedFlooredCouponCap(B20,B23)</f>
        <v>3.4028234663852886E+38</v>
      </c>
      <c r="C49" s="20">
        <f>_xll.qlCappedFlooredCouponCap(C20,C23)</f>
        <v>0.06</v>
      </c>
    </row>
    <row r="50" spans="1:3" ht="15">
      <c r="A50" s="24" t="s">
        <v>88</v>
      </c>
      <c r="B50" s="27">
        <f>_xll.qlCappedFlooredCouponFloor(B20,B23)</f>
        <v>3.4028234663852886E+38</v>
      </c>
      <c r="C50" s="28">
        <f>_xll.qlCappedFlooredCouponFloor(C20,C23)</f>
        <v>0.01</v>
      </c>
    </row>
    <row r="51" spans="1:3" ht="15">
      <c r="A51" s="29" t="s">
        <v>89</v>
      </c>
      <c r="B51" s="19">
        <f>_xll.qlCappedFlooredCouponEffectiveCap(B20,B23)</f>
        <v>3.4028234663852886E+38</v>
      </c>
      <c r="C51" s="20">
        <f>_xll.qlCappedFlooredCouponEffectiveCap(C20,C23)</f>
        <v>5.8999999999999997E-2</v>
      </c>
    </row>
    <row r="52" spans="1:3" ht="15">
      <c r="A52" s="24" t="s">
        <v>90</v>
      </c>
      <c r="B52" s="27">
        <f>_xll.qlCappedFlooredCouponEffectiveFloor(B20,B23)</f>
        <v>3.4028234663852886E+38</v>
      </c>
      <c r="C52" s="28">
        <f>_xll.qlCappedFlooredCouponEffectiveFloor(C20,C23)</f>
        <v>9.0000000000000011E-3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189FD-C8F8-4090-B2E1-04E499EEED39}">
  <dimension ref="A1:C62"/>
  <sheetViews>
    <sheetView workbookViewId="0">
      <pane xSplit="1" ySplit="3" topLeftCell="B19" activePane="bottomRight" state="frozen"/>
      <selection pane="topRight" activeCell="B1" sqref="B1"/>
      <selection pane="bottomLeft" activeCell="A4" sqref="A4"/>
      <selection pane="bottomRight" activeCell="A25" sqref="A25"/>
    </sheetView>
  </sheetViews>
  <sheetFormatPr baseColWidth="10" defaultRowHeight="14.25"/>
  <cols>
    <col min="1" max="1" width="51.625" bestFit="1" customWidth="1"/>
    <col min="2" max="2" width="91.375" style="8" bestFit="1" customWidth="1"/>
    <col min="3" max="3" width="91.37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>
        <f>_xll.qlSettingsSetEvaluationDate(B1)</f>
        <v>45293</v>
      </c>
    </row>
    <row r="4" spans="1:3">
      <c r="A4" s="15" t="s">
        <v>111</v>
      </c>
      <c r="B4" s="16">
        <v>45475</v>
      </c>
      <c r="C4" s="17">
        <v>45475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45293</v>
      </c>
      <c r="C6" s="22">
        <v>45293</v>
      </c>
    </row>
    <row r="7" spans="1:3">
      <c r="A7" s="18" t="s">
        <v>113</v>
      </c>
      <c r="B7" s="21">
        <v>45475</v>
      </c>
      <c r="C7" s="22">
        <v>45475</v>
      </c>
    </row>
    <row r="8" spans="1:3">
      <c r="A8" s="9" t="s">
        <v>124</v>
      </c>
      <c r="B8" s="10" t="str">
        <f>_xll.qlFlatForward($B$1,0.02,"actual365fixed",,,B1)</f>
        <v>欣[test_cashflows.xlsx]OvernightIndexedCoupon!R8C2YieldTermStructureHandle,A</v>
      </c>
      <c r="C8" s="11" t="str">
        <f>_xll.qlFlatForward($B$1,0.02,"actual365fixed",,,C1)</f>
        <v>欣[test_cashflows.xlsx]OvernightIndexedCoupon!R8C3YieldTermStructureHandle,A</v>
      </c>
    </row>
    <row r="9" spans="1:3">
      <c r="A9" s="12" t="s">
        <v>134</v>
      </c>
      <c r="B9" s="13" t="str">
        <f>_xll.qlEstr(B8)</f>
        <v>欣[test_cashflows.xlsx]OvernightIndexedCoupon!R9C2Estr,A</v>
      </c>
      <c r="C9" s="14" t="str">
        <f>_xll.qlEstr(C8)</f>
        <v>欣[test_cashflows.xlsx]OvernightIndexedCoupon!R9C3Estr,A</v>
      </c>
    </row>
    <row r="10" spans="1:3">
      <c r="A10" s="33" t="s">
        <v>116</v>
      </c>
      <c r="B10" s="19"/>
      <c r="C10" s="20">
        <v>1</v>
      </c>
    </row>
    <row r="11" spans="1:3">
      <c r="A11" s="18" t="s">
        <v>117</v>
      </c>
      <c r="B11" s="19"/>
      <c r="C11" s="20">
        <v>0</v>
      </c>
    </row>
    <row r="12" spans="1:3">
      <c r="A12" s="18" t="s">
        <v>118</v>
      </c>
      <c r="B12" s="21"/>
      <c r="C12" s="22">
        <v>45293</v>
      </c>
    </row>
    <row r="13" spans="1:3">
      <c r="A13" s="18" t="s">
        <v>119</v>
      </c>
      <c r="B13" s="21"/>
      <c r="C13" s="22">
        <v>45475</v>
      </c>
    </row>
    <row r="14" spans="1:3">
      <c r="A14" s="18" t="s">
        <v>120</v>
      </c>
      <c r="B14" s="19"/>
      <c r="C14" s="20" t="s">
        <v>127</v>
      </c>
    </row>
    <row r="15" spans="1:3">
      <c r="A15" s="18" t="s">
        <v>135</v>
      </c>
      <c r="B15" s="19"/>
      <c r="C15" s="20" t="b">
        <v>0</v>
      </c>
    </row>
    <row r="16" spans="1:3">
      <c r="A16" s="18" t="s">
        <v>136</v>
      </c>
      <c r="B16" s="19"/>
      <c r="C16" s="22" t="s">
        <v>143</v>
      </c>
    </row>
    <row r="17" spans="1:3">
      <c r="A17" s="18" t="s">
        <v>137</v>
      </c>
      <c r="B17" s="19"/>
      <c r="C17" s="34">
        <v>0</v>
      </c>
    </row>
    <row r="18" spans="1:3">
      <c r="A18" s="18" t="s">
        <v>138</v>
      </c>
      <c r="B18" s="19"/>
      <c r="C18" s="20">
        <v>0</v>
      </c>
    </row>
    <row r="19" spans="1:3">
      <c r="A19" s="18" t="s">
        <v>139</v>
      </c>
      <c r="B19" s="19"/>
      <c r="C19" s="20" t="b">
        <v>0</v>
      </c>
    </row>
    <row r="20" spans="1:3">
      <c r="A20" s="18" t="s">
        <v>140</v>
      </c>
      <c r="B20" s="19"/>
      <c r="C20" s="20" t="b">
        <v>0</v>
      </c>
    </row>
    <row r="21" spans="1:3">
      <c r="A21" s="18" t="s">
        <v>141</v>
      </c>
      <c r="B21" s="19"/>
      <c r="C21" s="22">
        <v>45293</v>
      </c>
    </row>
    <row r="22" spans="1:3">
      <c r="A22" s="18" t="s">
        <v>142</v>
      </c>
      <c r="B22" s="19"/>
      <c r="C22" s="22">
        <v>45475</v>
      </c>
    </row>
    <row r="23" spans="1:3" ht="15">
      <c r="A23" s="23" t="s">
        <v>29</v>
      </c>
      <c r="B23" s="13" t="str">
        <f>_xll.qlOvernightIndexedCoupon(B4,B5,B6,B7,B9,,,,,,,,,,,,,B9)</f>
        <v>欣[test_cashflows.xlsx]OvernightIndexedCoupon!R23C2OvernightIndexedCoupon,A</v>
      </c>
      <c r="C23" s="14" t="str">
        <f>_xll.qlOvernightIndexedCoupon(C4,C5,C6,C7,C9,C10,C11,C12,C13,C14,C15,C16,C17,C18,C19,C20,C21,C22,C9)</f>
        <v>欣[test_cashflows.xlsx]OvernightIndexedCoupon!R23C3OvernightIndexedCoupon,A</v>
      </c>
    </row>
    <row r="24" spans="1:3">
      <c r="A24" s="35" t="s">
        <v>133</v>
      </c>
      <c r="B24" s="10"/>
      <c r="C24" s="11" t="str">
        <f>_xll.qlConstantOptionletVolatility($B$1,"TARGET","ModifiedFollowing",0.2,"actual360",,,C23)</f>
        <v>欣[test_cashflows.xlsx]OvernightIndexedCoupon!R24C3OptionletVolatilityStructureHandle,A</v>
      </c>
    </row>
    <row r="25" spans="1:3" ht="15">
      <c r="A25" s="23" t="s">
        <v>144</v>
      </c>
      <c r="B25" s="13" t="str">
        <f>_xll.qlBlackCompoundingOvernightIndexedCouponPricer()</f>
        <v>欣[test_cashflows.xlsx]OvernightIndexedCoupon!R25C2BlackCompoundingOvernightIndexedCouponPricer,A</v>
      </c>
      <c r="C25" s="14" t="str">
        <f>_xll.qlBlackCompoundingOvernightIndexedCouponPricer(C24)</f>
        <v>欣[test_cashflows.xlsx]OvernightIndexedCoupon!R25C3BlackCompoundingOvernightIndexedCouponPricer,A</v>
      </c>
    </row>
    <row r="26" spans="1:3" ht="15">
      <c r="A26" s="23" t="s">
        <v>132</v>
      </c>
      <c r="B26" s="13" t="b">
        <f>_xll.qlFloatingRateCouponSetPricer(B23,B25)</f>
        <v>1</v>
      </c>
      <c r="C26" s="14" t="b">
        <f>_xll.qlFloatingRateCouponSetPricer(C23,C25)</f>
        <v>1</v>
      </c>
    </row>
    <row r="27" spans="1:3" ht="15">
      <c r="A27" s="29" t="s">
        <v>61</v>
      </c>
      <c r="B27" s="19">
        <f>_xll.qlCouponNominal(B23,B26)</f>
        <v>100</v>
      </c>
      <c r="C27" s="20">
        <f>_xll.qlCouponNominal(C23,C26)</f>
        <v>100</v>
      </c>
    </row>
    <row r="28" spans="1:3" ht="15">
      <c r="A28" s="24" t="s">
        <v>62</v>
      </c>
      <c r="B28" s="25">
        <f>_xll.qlCouponAccrualStartDate(B23,B26)</f>
        <v>45293</v>
      </c>
      <c r="C28" s="26">
        <f>_xll.qlCouponAccrualStartDate(C23,C26)</f>
        <v>45293</v>
      </c>
    </row>
    <row r="29" spans="1:3" ht="15">
      <c r="A29" s="29" t="s">
        <v>63</v>
      </c>
      <c r="B29" s="21">
        <f>_xll.qlCouponAccrualEndDate(B23,B26)</f>
        <v>45475</v>
      </c>
      <c r="C29" s="22">
        <f>_xll.qlCouponAccrualEndDate(C23,C26)</f>
        <v>45475</v>
      </c>
    </row>
    <row r="30" spans="1:3" ht="15">
      <c r="A30" s="24" t="s">
        <v>64</v>
      </c>
      <c r="B30" s="25">
        <f>_xll.qlCouponReferencePeriodStart(B23,B26)</f>
        <v>45293</v>
      </c>
      <c r="C30" s="26">
        <f>_xll.qlCouponReferencePeriodStart(C23,C26)</f>
        <v>45293</v>
      </c>
    </row>
    <row r="31" spans="1:3" ht="15">
      <c r="A31" s="29" t="s">
        <v>65</v>
      </c>
      <c r="B31" s="21">
        <f>_xll.qlCouponReferencePeriodEnd(B23,B26)</f>
        <v>45475</v>
      </c>
      <c r="C31" s="22">
        <f>_xll.qlCouponReferencePeriodEnd(C23,C26)</f>
        <v>45475</v>
      </c>
    </row>
    <row r="32" spans="1:3" ht="15">
      <c r="A32" s="24" t="s">
        <v>66</v>
      </c>
      <c r="B32" s="27">
        <f>_xll.qlCouponExCouponDate(B23,B26)</f>
        <v>0</v>
      </c>
      <c r="C32" s="26">
        <f>_xll.qlCouponExCouponDate(C23,C26)</f>
        <v>0</v>
      </c>
    </row>
    <row r="33" spans="1:3" ht="15">
      <c r="A33" s="29" t="s">
        <v>67</v>
      </c>
      <c r="B33" s="19">
        <f>_xll.qlCouponRate(B23,B26)</f>
        <v>1.9824715099629873E-2</v>
      </c>
      <c r="C33" s="20">
        <f>_xll.qlCouponRate(C23,C26)</f>
        <v>2.0100058364902508E-2</v>
      </c>
    </row>
    <row r="34" spans="1:3" ht="15">
      <c r="A34" s="24" t="s">
        <v>68</v>
      </c>
      <c r="B34" s="27">
        <f>_xll.qlCouponAccrualPeriod(B23,B26)</f>
        <v>0.50555555555555554</v>
      </c>
      <c r="C34" s="28">
        <f>_xll.qlCouponAccrualPeriod(C23,C26)</f>
        <v>0.49863013698630138</v>
      </c>
    </row>
    <row r="35" spans="1:3" ht="15">
      <c r="A35" s="29" t="s">
        <v>69</v>
      </c>
      <c r="B35" s="19">
        <f>_xll.qlCouponAccrualDays(B23,B26)</f>
        <v>182</v>
      </c>
      <c r="C35" s="20">
        <f>_xll.qlCouponAccrualDays(C23,C26)</f>
        <v>182</v>
      </c>
    </row>
    <row r="36" spans="1:3" ht="15">
      <c r="A36" s="24" t="s">
        <v>70</v>
      </c>
      <c r="B36" s="27" t="str">
        <f>_xll.qlCouponDayCounter(B23,B26)</f>
        <v>Actual/360</v>
      </c>
      <c r="C36" s="28" t="str">
        <f>_xll.qlCouponDayCounter(C23,C26)</f>
        <v>Actual/365 (Fixed)</v>
      </c>
    </row>
    <row r="37" spans="1:3" ht="15">
      <c r="A37" s="29" t="s">
        <v>71</v>
      </c>
      <c r="B37" s="19">
        <f>_xll.qlCouponAccruedAmount(B23,"01.10.2024",B26)</f>
        <v>0</v>
      </c>
      <c r="C37" s="20">
        <f>_xll.qlCouponAccruedAmount(C23,"01.10.2024",C26)</f>
        <v>0</v>
      </c>
    </row>
    <row r="38" spans="1:3" ht="15">
      <c r="A38" s="24" t="s">
        <v>72</v>
      </c>
      <c r="B38" s="25">
        <f>_xll.qlFloatingRateCouponFixingDate(B23,B26)</f>
        <v>45474</v>
      </c>
      <c r="C38" s="26">
        <f>_xll.qlFloatingRateCouponFixingDate(C23,C26)</f>
        <v>45474</v>
      </c>
    </row>
    <row r="39" spans="1:3" ht="15">
      <c r="A39" s="29" t="s">
        <v>73</v>
      </c>
      <c r="B39" s="19">
        <f>_xll.qlFloatingRateCouponFixingDays(B23,B26)</f>
        <v>0</v>
      </c>
      <c r="C39" s="20">
        <f>_xll.qlFloatingRateCouponFixingDays(C23,C26)</f>
        <v>0</v>
      </c>
    </row>
    <row r="40" spans="1:3" ht="15">
      <c r="A40" s="24" t="s">
        <v>129</v>
      </c>
      <c r="B40" s="27" t="str">
        <f>_xll.qlFloatingRateCouponFixingConvention(B23,B26)</f>
        <v>PRECEDING</v>
      </c>
      <c r="C40" s="28" t="str">
        <f>_xll.qlFloatingRateCouponFixingConvention(C23,C26)</f>
        <v>PRECEDING</v>
      </c>
    </row>
    <row r="41" spans="1:3" ht="15">
      <c r="A41" s="29" t="s">
        <v>74</v>
      </c>
      <c r="B41" s="19" t="b">
        <f>_xll.qlFloatingRateCouponIsInArrears(B23,B26)</f>
        <v>0</v>
      </c>
      <c r="C41" s="20" t="b">
        <f>_xll.qlFloatingRateCouponIsInArrears(C23,C26)</f>
        <v>0</v>
      </c>
    </row>
    <row r="42" spans="1:3" ht="15">
      <c r="A42" s="24" t="s">
        <v>75</v>
      </c>
      <c r="B42" s="27">
        <f>_xll.qlFloatingRateCouponGearing(B23,B26)</f>
        <v>1</v>
      </c>
      <c r="C42" s="28">
        <f>_xll.qlFloatingRateCouponGearing(C23,C26)</f>
        <v>1</v>
      </c>
    </row>
    <row r="43" spans="1:3" ht="15">
      <c r="A43" s="29" t="s">
        <v>76</v>
      </c>
      <c r="B43" s="19">
        <f>_xll.qlFloatingRateCouponSpread(B23,B26)</f>
        <v>0</v>
      </c>
      <c r="C43" s="20">
        <f>_xll.qlFloatingRateCouponSpread(C23,C26)</f>
        <v>0</v>
      </c>
    </row>
    <row r="44" spans="1:3" ht="15">
      <c r="A44" s="24" t="s">
        <v>77</v>
      </c>
      <c r="B44" s="27">
        <f>_xll.qlFloatingRateCouponIndexFixing(B23,B26)</f>
        <v>1.9726567846172216E-2</v>
      </c>
      <c r="C44" s="28">
        <f>_xll.qlFloatingRateCouponIndexFixing(C23,C26)</f>
        <v>1.9726567846172216E-2</v>
      </c>
    </row>
    <row r="45" spans="1:3" ht="15">
      <c r="A45" s="29" t="s">
        <v>78</v>
      </c>
      <c r="B45" s="19">
        <f>_xll.qlFloatingRateCouponAdjustedFixing(B23,B26)</f>
        <v>1.9824715099629873E-2</v>
      </c>
      <c r="C45" s="20">
        <f>_xll.qlFloatingRateCouponAdjustedFixing(C23,C26)</f>
        <v>2.0100058364902508E-2</v>
      </c>
    </row>
    <row r="46" spans="1:3" ht="15">
      <c r="A46" s="24" t="s">
        <v>79</v>
      </c>
      <c r="B46" s="27">
        <f>_xll.qlFloatingRateCouponConvexityAdjustment(B23,B26)</f>
        <v>9.8147253457657457E-5</v>
      </c>
      <c r="C46" s="28">
        <f>_xll.qlFloatingRateCouponConvexityAdjustment(C23,C26)</f>
        <v>3.7349051873029199E-4</v>
      </c>
    </row>
    <row r="47" spans="1:3">
      <c r="A47" s="30" t="s">
        <v>124</v>
      </c>
      <c r="B47" s="19" t="str">
        <f>_xll.qlFlatForward($B$1,0.02,"actual365fixed",,,B2)</f>
        <v>欣[test_cashflows.xlsx]OvernightIndexedCoupon!R47C2YieldTermStructureHandle,A</v>
      </c>
      <c r="C47" s="20" t="str">
        <f>_xll.qlFlatForward($B$1,0.02,"actual365fixed",,,C2)</f>
        <v>欣[test_cashflows.xlsx]OvernightIndexedCoupon!R47C3YieldTermStructureHandle,A</v>
      </c>
    </row>
    <row r="48" spans="1:3" ht="15">
      <c r="A48" s="29" t="s">
        <v>80</v>
      </c>
      <c r="B48" s="19">
        <f>_xll.qlFloatingRateCouponPrice(B23,B47,B26)</f>
        <v>0.99230412262784928</v>
      </c>
      <c r="C48" s="20">
        <f>_xll.qlFloatingRateCouponPrice(C23,C47,C26)</f>
        <v>0.99230412262784928</v>
      </c>
    </row>
    <row r="49" spans="1:3" ht="15">
      <c r="A49" s="24" t="s">
        <v>81</v>
      </c>
      <c r="B49" s="27" t="str">
        <f>_xll.qlFloatingRateCouponIndex(B23,B26)</f>
        <v>欣[test_cashflows.xlsx]OvernightIndexedCoupon!R49C2InterestRateIndex,A</v>
      </c>
      <c r="C49" s="28" t="str">
        <f>_xll.qlFloatingRateCouponIndex(C23,C26)</f>
        <v>欣[test_cashflows.xlsx]OvernightIndexedCoupon!R49C3InterestRateIndex,A</v>
      </c>
    </row>
    <row r="50" spans="1:3" ht="15">
      <c r="A50" s="29" t="s">
        <v>91</v>
      </c>
      <c r="B50" s="19" t="str">
        <f>_xll.qlOvernightIndexedCouponAveragingMethod(B23,B26)</f>
        <v>COMPOUND</v>
      </c>
      <c r="C50" s="20" t="str">
        <f>_xll.qlOvernightIndexedCouponAveragingMethod(C23,C26)</f>
        <v>COMPOUND</v>
      </c>
    </row>
    <row r="51" spans="1:3" ht="15">
      <c r="A51" s="24" t="s">
        <v>92</v>
      </c>
      <c r="B51" s="27" t="b">
        <f>_xll.qlOvernightIndexedCouponCanApplyTelescopicFormula(B23,B25)</f>
        <v>1</v>
      </c>
      <c r="C51" s="28" t="b">
        <f>_xll.qlOvernightIndexedCouponCanApplyTelescopicFormula(C23,C25)</f>
        <v>1</v>
      </c>
    </row>
    <row r="52" spans="1:3" ht="15">
      <c r="A52" s="29" t="s">
        <v>93</v>
      </c>
      <c r="B52" s="19" t="b">
        <f>_xll.qlOvernightIndexedCouponApplyObservationShift(B23,B25)</f>
        <v>0</v>
      </c>
      <c r="C52" s="20" t="b">
        <f>_xll.qlOvernightIndexedCouponApplyObservationShift(C23,C25)</f>
        <v>0</v>
      </c>
    </row>
    <row r="53" spans="1:3" ht="15">
      <c r="A53" s="24" t="s">
        <v>94</v>
      </c>
      <c r="B53" s="27" t="b">
        <f>_xll.qlOvernightIndexedCouponCompoundSpreadDaily(B23,B25)</f>
        <v>0</v>
      </c>
      <c r="C53" s="28" t="b">
        <f>_xll.qlOvernightIndexedCouponCompoundSpreadDaily(C23,C25)</f>
        <v>0</v>
      </c>
    </row>
    <row r="54" spans="1:3" ht="15">
      <c r="A54" s="29" t="s">
        <v>95</v>
      </c>
      <c r="B54" s="19">
        <f>_xll.qlOvernightIndexedCouponLockoutDays(B23,B25)</f>
        <v>0</v>
      </c>
      <c r="C54" s="20">
        <f>_xll.qlOvernightIndexedCouponLockoutDays(C23,C25)</f>
        <v>0</v>
      </c>
    </row>
    <row r="55" spans="1:3" ht="15">
      <c r="A55" s="24" t="s">
        <v>96</v>
      </c>
      <c r="B55" s="25">
        <f>_xll.qlOvernightIndexedCouponRateComputationStartDate(B23,B25)</f>
        <v>0</v>
      </c>
      <c r="C55" s="26">
        <f>_xll.qlOvernightIndexedCouponRateComputationStartDate(C23,C25)</f>
        <v>45293</v>
      </c>
    </row>
    <row r="56" spans="1:3" ht="15">
      <c r="A56" s="29" t="s">
        <v>97</v>
      </c>
      <c r="B56" s="21">
        <f>_xll.qlOvernightIndexedCouponRateComputationEndDate(B23,B25)</f>
        <v>0</v>
      </c>
      <c r="C56" s="22">
        <f>_xll.qlOvernightIndexedCouponRateComputationEndDate(C23,C25)</f>
        <v>45475</v>
      </c>
    </row>
    <row r="57" spans="1:3" ht="15">
      <c r="A57" s="24" t="s">
        <v>98</v>
      </c>
      <c r="B57" s="25">
        <f>_xll.qlOvernightIndexedCouponValueDates(B23,B25)</f>
        <v>45293</v>
      </c>
      <c r="C57" s="26">
        <f>_xll.qlOvernightIndexedCouponValueDates(C23,C25)</f>
        <v>45293</v>
      </c>
    </row>
    <row r="58" spans="1:3" ht="15">
      <c r="A58" s="29" t="s">
        <v>99</v>
      </c>
      <c r="B58" s="21">
        <f>_xll.qlOvernightIndexedCouponFixingDates(B23,B25)</f>
        <v>45293</v>
      </c>
      <c r="C58" s="22">
        <f>_xll.qlOvernightIndexedCouponFixingDates(C23,C25)</f>
        <v>45293</v>
      </c>
    </row>
    <row r="59" spans="1:3" ht="15">
      <c r="A59" s="24" t="s">
        <v>100</v>
      </c>
      <c r="B59" s="27">
        <f>_xll.qlOvernightIndexedCouponDt(B23,B25)</f>
        <v>2.7777777777777779E-3</v>
      </c>
      <c r="C59" s="28">
        <f>_xll.qlOvernightIndexedCouponDt(C23,C25)</f>
        <v>2.7777777777777779E-3</v>
      </c>
    </row>
    <row r="60" spans="1:3" ht="15">
      <c r="A60" s="29" t="s">
        <v>101</v>
      </c>
      <c r="B60" s="19">
        <f>_xll.qlOvernightIndexedCouponIndexFixings(B23,B25)</f>
        <v>1.9726567846252152E-2</v>
      </c>
      <c r="C60" s="20">
        <f>_xll.qlOvernightIndexedCouponIndexFixings(C23,C25)</f>
        <v>1.9726567846252152E-2</v>
      </c>
    </row>
    <row r="61" spans="1:3" ht="15">
      <c r="A61" s="24" t="s">
        <v>102</v>
      </c>
      <c r="B61" s="27">
        <f>_xll.qlOvernightIndexedCouponEffectiveIndexFixing(B23,B25)</f>
        <v>1.9824715099629873E-2</v>
      </c>
      <c r="C61" s="28">
        <f>_xll.qlOvernightIndexedCouponEffectiveIndexFixing(C23,C25)</f>
        <v>2.0100058364902508E-2</v>
      </c>
    </row>
    <row r="62" spans="1:3" ht="15">
      <c r="A62" s="23" t="s">
        <v>103</v>
      </c>
      <c r="B62" s="13">
        <f>_xll.qlOvernightIndexedCouponEffectiveSpread(B23,B25)</f>
        <v>0</v>
      </c>
      <c r="C62" s="14">
        <f>_xll.qlOvernightIndexedCouponEffectiveSpread(C23,C25)</f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FC8A5-9394-4EB7-BCAE-447F9DD17ABC}">
  <dimension ref="A1:C5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4.25"/>
  <cols>
    <col min="1" max="1" width="51.625" bestFit="1" customWidth="1"/>
    <col min="2" max="2" width="73" style="8" bestFit="1" customWidth="1"/>
    <col min="3" max="3" width="91.37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>
        <f>_xll.qlSettingsSetEvaluationDate(B1)</f>
        <v>45293</v>
      </c>
    </row>
    <row r="4" spans="1:3">
      <c r="A4" s="15" t="s">
        <v>111</v>
      </c>
      <c r="B4" s="16">
        <v>45475</v>
      </c>
      <c r="C4" s="17">
        <v>45475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45293</v>
      </c>
      <c r="C6" s="22">
        <v>45293</v>
      </c>
    </row>
    <row r="7" spans="1:3">
      <c r="A7" s="18" t="s">
        <v>113</v>
      </c>
      <c r="B7" s="21">
        <v>45475</v>
      </c>
      <c r="C7" s="22">
        <v>45475</v>
      </c>
    </row>
    <row r="8" spans="1:3">
      <c r="A8" s="18" t="s">
        <v>114</v>
      </c>
      <c r="B8" s="32">
        <v>2</v>
      </c>
      <c r="C8" s="34">
        <v>2</v>
      </c>
    </row>
    <row r="9" spans="1:3">
      <c r="A9" s="30" t="s">
        <v>124</v>
      </c>
      <c r="B9" s="10" t="str">
        <f>_xll.qlFlatForward($B$1,0.02,"actual365fixed",,,$B$1)</f>
        <v>欣[test_cashflows.xlsx]CmsCoupon!R9C2YieldTermStructureHandle,A</v>
      </c>
      <c r="C9" s="11" t="str">
        <f>_xll.qlFlatForward($B$1,0.02,"actual365fixed",,,$B$1)</f>
        <v>欣[test_cashflows.xlsx]CmsCoupon!R9C3YieldTermStructureHandle,A</v>
      </c>
    </row>
    <row r="10" spans="1:3">
      <c r="A10" s="30" t="s">
        <v>146</v>
      </c>
      <c r="B10" s="19" t="str">
        <f>_xll.qlEuribor("6M",B9)</f>
        <v>欣[test_cashflows.xlsx]CmsCoupon!R10C2Euribor,A</v>
      </c>
      <c r="C10" s="20" t="str">
        <f>_xll.qlEuribor("6M",C9)</f>
        <v>欣[test_cashflows.xlsx]CmsCoupon!R10C3Euribor,A</v>
      </c>
    </row>
    <row r="11" spans="1:3">
      <c r="A11" s="12" t="s">
        <v>145</v>
      </c>
      <c r="B11" s="13" t="str">
        <f>_xll.qlSwapIndex("TSwapIndex","10Y",2,"EUR","TARGET","1Y","ModifiedFollowing","actual365fixed",B10,,B10)</f>
        <v>欣[test_cashflows.xlsx]CmsCoupon!R11C2SwapIndex,A</v>
      </c>
      <c r="C11" s="14" t="str">
        <f>_xll.qlSwapIndex("TSwapIndex","10Y",2,"EUR","TARGET","1Y","ModifiedFollowing","actual365fixed",C10,,C10)</f>
        <v>欣[test_cashflows.xlsx]CmsCoupon!R11C3SwapIndex,A</v>
      </c>
    </row>
    <row r="12" spans="1:3">
      <c r="A12" s="9" t="s">
        <v>157</v>
      </c>
      <c r="B12" s="16">
        <v>45288</v>
      </c>
      <c r="C12" s="17">
        <v>45288</v>
      </c>
    </row>
    <row r="13" spans="1:3">
      <c r="A13" s="30" t="s">
        <v>158</v>
      </c>
      <c r="B13" s="19">
        <v>0.02</v>
      </c>
      <c r="C13" s="20">
        <v>0.02</v>
      </c>
    </row>
    <row r="14" spans="1:3">
      <c r="A14" s="40" t="s">
        <v>167</v>
      </c>
      <c r="B14" s="13" t="b">
        <f>_xll.qlIndexAddFixing(B11,B12,B13,,B11)</f>
        <v>1</v>
      </c>
      <c r="C14" s="14" t="b">
        <f>_xll.qlIndexAddFixing(C11,C12,C13,,C11)</f>
        <v>1</v>
      </c>
    </row>
    <row r="15" spans="1:3">
      <c r="A15" s="33" t="s">
        <v>116</v>
      </c>
      <c r="B15" s="19"/>
      <c r="C15" s="20">
        <v>1</v>
      </c>
    </row>
    <row r="16" spans="1:3">
      <c r="A16" s="18" t="s">
        <v>117</v>
      </c>
      <c r="B16" s="19"/>
      <c r="C16" s="20">
        <v>1E-3</v>
      </c>
    </row>
    <row r="17" spans="1:3">
      <c r="A17" s="18" t="s">
        <v>118</v>
      </c>
      <c r="B17" s="19"/>
      <c r="C17" s="22">
        <v>45293</v>
      </c>
    </row>
    <row r="18" spans="1:3">
      <c r="A18" s="18" t="s">
        <v>119</v>
      </c>
      <c r="B18" s="19"/>
      <c r="C18" s="22">
        <v>45475</v>
      </c>
    </row>
    <row r="19" spans="1:3">
      <c r="A19" s="18" t="s">
        <v>120</v>
      </c>
      <c r="B19" s="19"/>
      <c r="C19" s="20" t="s">
        <v>127</v>
      </c>
    </row>
    <row r="20" spans="1:3">
      <c r="A20" s="18" t="s">
        <v>121</v>
      </c>
      <c r="B20" s="19"/>
      <c r="C20" s="20" t="b">
        <v>0</v>
      </c>
    </row>
    <row r="21" spans="1:3">
      <c r="A21" s="18" t="s">
        <v>130</v>
      </c>
      <c r="B21" s="19"/>
      <c r="C21" s="22">
        <v>45475</v>
      </c>
    </row>
    <row r="22" spans="1:3">
      <c r="A22" s="18" t="s">
        <v>123</v>
      </c>
      <c r="B22" s="19"/>
      <c r="C22" s="34" t="s">
        <v>128</v>
      </c>
    </row>
    <row r="23" spans="1:3" ht="15">
      <c r="A23" s="29" t="s">
        <v>147</v>
      </c>
      <c r="B23" s="19" t="str">
        <f>_xll.qlCmsCoupon(B4,B5,B6,B7,B8,B11,,,,,,,,,B14)</f>
        <v>欣[test_cashflows.xlsx]CmsCoupon!R23C2CmsCoupon,A</v>
      </c>
      <c r="C23" s="20" t="str">
        <f>_xll.qlCmsCoupon(C4,C5,C6,C7,C8,C11,C15,C16,C17,C18,C19,C20,C21,C22,C14)</f>
        <v>欣[test_cashflows.xlsx]CmsCoupon!R23C3CmsCoupon,A</v>
      </c>
    </row>
    <row r="24" spans="1:3">
      <c r="A24" s="35" t="s">
        <v>153</v>
      </c>
      <c r="B24" s="10" t="str">
        <f>_xll.qlConstantSwaptionVolatility(B1,"TARGET","FOLLOWING",0.02,"ACTUAL365FIXED",,,"B20)")</f>
        <v>欣[test_cashflows.xlsx]CmsCoupon!R24C2SwaptionVolatilityStructureHandle,A</v>
      </c>
      <c r="C24" s="11" t="str">
        <f>_xll.qlConstantSwaptionVolatility(B1,"TARGET","FOLLOWING",0.02,"ACTUAL365FIXED",,,"B20)")</f>
        <v>欣[test_cashflows.xlsx]CmsCoupon!R24C3SwaptionVolatilityStructureHandle,A</v>
      </c>
    </row>
    <row r="25" spans="1:3">
      <c r="A25" s="31" t="s">
        <v>154</v>
      </c>
      <c r="B25" s="19" t="s">
        <v>156</v>
      </c>
      <c r="C25" s="20" t="s">
        <v>156</v>
      </c>
    </row>
    <row r="26" spans="1:3">
      <c r="A26" s="31" t="s">
        <v>155</v>
      </c>
      <c r="B26" s="19">
        <v>0.01</v>
      </c>
      <c r="C26" s="20">
        <v>0.01</v>
      </c>
    </row>
    <row r="27" spans="1:3" ht="15">
      <c r="A27" s="36" t="s">
        <v>159</v>
      </c>
      <c r="B27" s="13" t="str">
        <f>_xll.qlAnalyticHaganPricer(B24,B25,B26,"B21)")</f>
        <v>欣[test_cashflows.xlsx]CmsCoupon!R27C2AnalyticHaganPricer,A</v>
      </c>
      <c r="C27" s="14" t="str">
        <f>_xll.qlAnalyticHaganPricer(C24,C25,C26,"B21)")</f>
        <v>欣[test_cashflows.xlsx]CmsCoupon!R27C3AnalyticHaganPricer,A</v>
      </c>
    </row>
    <row r="28" spans="1:3" ht="15">
      <c r="A28" s="23" t="s">
        <v>132</v>
      </c>
      <c r="B28" s="13" t="b">
        <f>_xll.qlFloatingRateCouponSetPricer(B23,B27)</f>
        <v>1</v>
      </c>
      <c r="C28" s="14" t="b">
        <f>_xll.qlFloatingRateCouponSetPricer(C23,C27)</f>
        <v>1</v>
      </c>
    </row>
    <row r="29" spans="1:3" ht="15">
      <c r="A29" s="29" t="s">
        <v>61</v>
      </c>
      <c r="B29" s="19">
        <f>_xll.qlCouponNominal(B23,B28)</f>
        <v>100</v>
      </c>
      <c r="C29" s="20">
        <f>_xll.qlCouponNominal(C23,C28)</f>
        <v>100</v>
      </c>
    </row>
    <row r="30" spans="1:3" ht="15">
      <c r="A30" s="24" t="s">
        <v>62</v>
      </c>
      <c r="B30" s="25">
        <f>_xll.qlCouponAccrualStartDate(B23,B28)</f>
        <v>45293</v>
      </c>
      <c r="C30" s="26">
        <f>_xll.qlCouponAccrualStartDate(C23,C28)</f>
        <v>45293</v>
      </c>
    </row>
    <row r="31" spans="1:3" ht="15">
      <c r="A31" s="29" t="s">
        <v>63</v>
      </c>
      <c r="B31" s="21">
        <f>_xll.qlCouponAccrualEndDate(B23,B28)</f>
        <v>45475</v>
      </c>
      <c r="C31" s="22">
        <f>_xll.qlCouponAccrualEndDate(C23,C28)</f>
        <v>45475</v>
      </c>
    </row>
    <row r="32" spans="1:3" ht="15">
      <c r="A32" s="24" t="s">
        <v>64</v>
      </c>
      <c r="B32" s="25">
        <f>_xll.qlCouponReferencePeriodStart(B23,B28)</f>
        <v>45293</v>
      </c>
      <c r="C32" s="26">
        <f>_xll.qlCouponReferencePeriodStart(C23,C28)</f>
        <v>45293</v>
      </c>
    </row>
    <row r="33" spans="1:3" ht="15">
      <c r="A33" s="29" t="s">
        <v>65</v>
      </c>
      <c r="B33" s="21">
        <f>_xll.qlCouponReferencePeriodEnd(B23,B28)</f>
        <v>45475</v>
      </c>
      <c r="C33" s="22">
        <f>_xll.qlCouponReferencePeriodEnd(C23,C28)</f>
        <v>45475</v>
      </c>
    </row>
    <row r="34" spans="1:3" ht="15">
      <c r="A34" s="24" t="s">
        <v>66</v>
      </c>
      <c r="B34" s="27">
        <f>_xll.qlCouponExCouponDate(B23,B28)</f>
        <v>0</v>
      </c>
      <c r="C34" s="28">
        <f>_xll.qlCouponExCouponDate(C23,C28)</f>
        <v>45475</v>
      </c>
    </row>
    <row r="35" spans="1:3" ht="15">
      <c r="A35" s="29" t="s">
        <v>67</v>
      </c>
      <c r="B35" s="19">
        <f>_xll.qlCouponRate(B23,B28)</f>
        <v>0.02</v>
      </c>
      <c r="C35" s="20">
        <f>_xll.qlCouponRate(C23,C28)</f>
        <v>2.1000000000000001E-2</v>
      </c>
    </row>
    <row r="36" spans="1:3" ht="15">
      <c r="A36" s="24" t="s">
        <v>68</v>
      </c>
      <c r="B36" s="27">
        <f>_xll.qlCouponAccrualPeriod(B23,B28)</f>
        <v>0.49863013698630138</v>
      </c>
      <c r="C36" s="28">
        <f>_xll.qlCouponAccrualPeriod(C23,C28)</f>
        <v>0.49863013698630138</v>
      </c>
    </row>
    <row r="37" spans="1:3" ht="15">
      <c r="A37" s="29" t="s">
        <v>69</v>
      </c>
      <c r="B37" s="19">
        <f>_xll.qlCouponAccrualDays(B23,B28)</f>
        <v>182</v>
      </c>
      <c r="C37" s="20">
        <f>_xll.qlCouponAccrualDays(C23,C28)</f>
        <v>182</v>
      </c>
    </row>
    <row r="38" spans="1:3" ht="15">
      <c r="A38" s="24" t="s">
        <v>70</v>
      </c>
      <c r="B38" s="27" t="str">
        <f>_xll.qlCouponDayCounter(B23,B28)</f>
        <v>Actual/365 (Fixed)</v>
      </c>
      <c r="C38" s="28" t="str">
        <f>_xll.qlCouponDayCounter(C23,C28)</f>
        <v>Actual/365 (Fixed)</v>
      </c>
    </row>
    <row r="39" spans="1:3" ht="15">
      <c r="A39" s="29" t="s">
        <v>71</v>
      </c>
      <c r="B39" s="19">
        <f>_xll.qlCouponAccruedAmount(B23,"01.10.2024",B28)</f>
        <v>0</v>
      </c>
      <c r="C39" s="20">
        <f>_xll.qlCouponAccruedAmount(C23,"01.10.2024",C28)</f>
        <v>0</v>
      </c>
    </row>
    <row r="40" spans="1:3" ht="15">
      <c r="A40" s="24" t="s">
        <v>72</v>
      </c>
      <c r="B40" s="25">
        <f>_xll.qlFloatingRateCouponFixingDate(B23,B28)</f>
        <v>45288</v>
      </c>
      <c r="C40" s="26">
        <f>_xll.qlFloatingRateCouponFixingDate(C23,C28)</f>
        <v>45288</v>
      </c>
    </row>
    <row r="41" spans="1:3" ht="15">
      <c r="A41" s="29" t="s">
        <v>73</v>
      </c>
      <c r="B41" s="19">
        <f>_xll.qlFloatingRateCouponFixingDays(B23,B28)</f>
        <v>2</v>
      </c>
      <c r="C41" s="20">
        <f>_xll.qlFloatingRateCouponFixingDays(C23,C28)</f>
        <v>2</v>
      </c>
    </row>
    <row r="42" spans="1:3" ht="15">
      <c r="A42" s="24" t="s">
        <v>129</v>
      </c>
      <c r="B42" s="27" t="str">
        <f>_xll.qlFloatingRateCouponFixingConvention(B23,B28)</f>
        <v>PRECEDING</v>
      </c>
      <c r="C42" s="28" t="str">
        <f>_xll.qlFloatingRateCouponFixingConvention(C23,C28)</f>
        <v>FOLLOWING</v>
      </c>
    </row>
    <row r="43" spans="1:3" ht="15">
      <c r="A43" s="29" t="s">
        <v>74</v>
      </c>
      <c r="B43" s="19" t="b">
        <f>_xll.qlFloatingRateCouponIsInArrears(B23,B28)</f>
        <v>0</v>
      </c>
      <c r="C43" s="20" t="b">
        <f>_xll.qlFloatingRateCouponIsInArrears(C23,C28)</f>
        <v>0</v>
      </c>
    </row>
    <row r="44" spans="1:3" ht="15">
      <c r="A44" s="24" t="s">
        <v>75</v>
      </c>
      <c r="B44" s="27">
        <f>_xll.qlFloatingRateCouponGearing(B23,B28)</f>
        <v>1</v>
      </c>
      <c r="C44" s="28">
        <f>_xll.qlFloatingRateCouponGearing(C23,C28)</f>
        <v>1</v>
      </c>
    </row>
    <row r="45" spans="1:3" ht="15">
      <c r="A45" s="29" t="s">
        <v>76</v>
      </c>
      <c r="B45" s="19">
        <f>_xll.qlFloatingRateCouponSpread(B23,B28)</f>
        <v>0</v>
      </c>
      <c r="C45" s="20">
        <f>_xll.qlFloatingRateCouponSpread(C23,C28)</f>
        <v>1E-3</v>
      </c>
    </row>
    <row r="46" spans="1:3" ht="15">
      <c r="A46" s="24" t="s">
        <v>77</v>
      </c>
      <c r="B46" s="27">
        <f>_xll.qlFloatingRateCouponIndexFixing(B23,B28)</f>
        <v>0.02</v>
      </c>
      <c r="C46" s="28">
        <f>_xll.qlFloatingRateCouponIndexFixing(C23,C28)</f>
        <v>0.02</v>
      </c>
    </row>
    <row r="47" spans="1:3" ht="15">
      <c r="A47" s="29" t="s">
        <v>78</v>
      </c>
      <c r="B47" s="19">
        <f>_xll.qlFloatingRateCouponAdjustedFixing(B23,B28)</f>
        <v>0.02</v>
      </c>
      <c r="C47" s="20">
        <f>_xll.qlFloatingRateCouponAdjustedFixing(C23,C28)</f>
        <v>0.02</v>
      </c>
    </row>
    <row r="48" spans="1:3" ht="15">
      <c r="A48" s="24" t="s">
        <v>79</v>
      </c>
      <c r="B48" s="27">
        <f>_xll.qlFloatingRateCouponConvexityAdjustment(B23,B28)</f>
        <v>0</v>
      </c>
      <c r="C48" s="28">
        <f>_xll.qlFloatingRateCouponConvexityAdjustment(C23,C28)</f>
        <v>0</v>
      </c>
    </row>
    <row r="49" spans="1:3">
      <c r="A49" s="30" t="s">
        <v>124</v>
      </c>
      <c r="B49" s="19" t="str">
        <f>_xll.qlFlatForward($B$1,0.02,"actual365fixed",,,B1)</f>
        <v>欣[test_cashflows.xlsx]CmsCoupon!R49C2YieldTermStructureHandle,A</v>
      </c>
      <c r="C49" s="20" t="str">
        <f>_xll.qlFlatForward($B$1,0.02,"actual365fixed",,,C1)</f>
        <v>欣[test_cashflows.xlsx]CmsCoupon!R49C3YieldTermStructureHandle,A</v>
      </c>
    </row>
    <row r="50" spans="1:3" ht="15">
      <c r="A50" s="29" t="s">
        <v>80</v>
      </c>
      <c r="B50" s="19">
        <f>_xll.qlFloatingRateCouponPrice(B23,B49,B28)</f>
        <v>0.98736441916064277</v>
      </c>
      <c r="C50" s="20">
        <f>_xll.qlFloatingRateCouponPrice(C23,C49,C28)</f>
        <v>1.0367326401186752</v>
      </c>
    </row>
    <row r="51" spans="1:3" ht="15">
      <c r="A51" s="24" t="s">
        <v>81</v>
      </c>
      <c r="B51" s="27" t="str">
        <f>_xll.qlFloatingRateCouponIndex(B23,B28)</f>
        <v>欣[test_cashflows.xlsx]CmsCoupon!R51C2InterestRateIndex,A</v>
      </c>
      <c r="C51" s="28" t="str">
        <f>_xll.qlFloatingRateCouponIndex(C23,C28)</f>
        <v>欣[test_cashflows.xlsx]CmsCoupon!R51C3InterestRateIndex,A</v>
      </c>
    </row>
    <row r="52" spans="1:3">
      <c r="A52" s="37" t="s">
        <v>160</v>
      </c>
    </row>
    <row r="53" spans="1:3">
      <c r="A53" s="38" t="s">
        <v>165</v>
      </c>
    </row>
    <row r="54" spans="1:3">
      <c r="A54" s="38" t="s">
        <v>166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30C7E-B571-4B08-A212-8E2A0B8B7A63}">
  <dimension ref="A1:C5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4.25"/>
  <cols>
    <col min="1" max="1" width="51.625" bestFit="1" customWidth="1"/>
    <col min="2" max="2" width="73" style="8" bestFit="1" customWidth="1"/>
    <col min="3" max="3" width="91.37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>
        <f>_xll.qlSettingsSetEvaluationDate(B1)</f>
        <v>45293</v>
      </c>
    </row>
    <row r="4" spans="1:3">
      <c r="A4" s="15" t="s">
        <v>111</v>
      </c>
      <c r="B4" s="16">
        <v>45475</v>
      </c>
      <c r="C4" s="17">
        <v>45475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45293</v>
      </c>
      <c r="C6" s="22">
        <v>45293</v>
      </c>
    </row>
    <row r="7" spans="1:3">
      <c r="A7" s="18" t="s">
        <v>113</v>
      </c>
      <c r="B7" s="21">
        <v>45475</v>
      </c>
      <c r="C7" s="22">
        <v>45475</v>
      </c>
    </row>
    <row r="8" spans="1:3">
      <c r="A8" s="18" t="s">
        <v>114</v>
      </c>
      <c r="B8" s="32">
        <v>2</v>
      </c>
      <c r="C8" s="34">
        <v>2</v>
      </c>
    </row>
    <row r="9" spans="1:3">
      <c r="A9" s="9" t="s">
        <v>124</v>
      </c>
      <c r="B9" s="10" t="str">
        <f>_xll.qlFlatForward($B$1,0.02,"actual365fixed",,,$B$1)</f>
        <v>欣[test_cashflows.xlsx]CmsSpreadCoupon!R9C2YieldTermStructureHandle,A</v>
      </c>
      <c r="C9" s="11" t="str">
        <f>_xll.qlFlatForward($B$1,0.02,"actual365fixed",,,$B$1)</f>
        <v>欣[test_cashflows.xlsx]CmsSpreadCoupon!R9C3YieldTermStructureHandle,A</v>
      </c>
    </row>
    <row r="10" spans="1:3">
      <c r="A10" s="30" t="s">
        <v>150</v>
      </c>
      <c r="B10" s="19" t="str">
        <f>_xll.qlEuribor("6M",B9)</f>
        <v>欣[test_cashflows.xlsx]CmsSpreadCoupon!R10C2Euribor,A</v>
      </c>
      <c r="C10" s="20" t="str">
        <f>_xll.qlEuribor("6M",C9)</f>
        <v>欣[test_cashflows.xlsx]CmsSpreadCoupon!R10C3Euribor,A</v>
      </c>
    </row>
    <row r="11" spans="1:3">
      <c r="A11" s="30" t="s">
        <v>149</v>
      </c>
      <c r="B11" s="19" t="str">
        <f>_xll.qlEuribor("12M",B9)</f>
        <v>欣[test_cashflows.xlsx]CmsSpreadCoupon!R11C2Euribor,A</v>
      </c>
      <c r="C11" s="20" t="str">
        <f>_xll.qlEuribor("12M",C9)</f>
        <v>欣[test_cashflows.xlsx]CmsSpreadCoupon!R11C3Euribor,A</v>
      </c>
    </row>
    <row r="12" spans="1:3">
      <c r="A12" s="30" t="s">
        <v>151</v>
      </c>
      <c r="B12" s="19" t="str">
        <f>_xll.qlSwapIndex("TSwapIndex","10Y",2,"EUR","TARGET","1Y","ModifiedFollowing","actual365fixed",B10,,B10)</f>
        <v>欣[test_cashflows.xlsx]CmsSpreadCoupon!R12C2SwapIndex,A</v>
      </c>
      <c r="C12" s="20" t="str">
        <f>_xll.qlSwapIndex("TSwapIndex","10Y",2,"EUR","TARGET","1Y","ModifiedFollowing","actual365fixed",C10,,C10)</f>
        <v>欣[test_cashflows.xlsx]CmsSpreadCoupon!R12C3SwapIndex,A</v>
      </c>
    </row>
    <row r="13" spans="1:3">
      <c r="A13" s="30" t="s">
        <v>152</v>
      </c>
      <c r="B13" s="19" t="str">
        <f>_xll.qlSwapIndex("TSwapIndex","10Y",2,"EUR","TARGET","1Y","ModifiedFollowing","actual365fixed",B11,,B11)</f>
        <v>欣[test_cashflows.xlsx]CmsSpreadCoupon!R13C2SwapIndex,A</v>
      </c>
      <c r="C13" s="20" t="str">
        <f>_xll.qlSwapIndex("TSwapIndex","10Y",2,"EUR","TARGET","1Y","ModifiedFollowing","actual365fixed",C11,,C11)</f>
        <v>欣[test_cashflows.xlsx]CmsSpreadCoupon!R13C3SwapIndex,A</v>
      </c>
    </row>
    <row r="14" spans="1:3">
      <c r="A14" s="12" t="s">
        <v>148</v>
      </c>
      <c r="B14" s="13" t="str">
        <f>_xll.qlSwapSpreadIndex("Test",B12,B13)</f>
        <v>欣[test_cashflows.xlsx]CmsSpreadCoupon!R14C2SwapSpreadIndex,A</v>
      </c>
      <c r="C14" s="14" t="str">
        <f>_xll.qlSwapSpreadIndex("Test",C12,C13)</f>
        <v>欣[test_cashflows.xlsx]CmsSpreadCoupon!R14C3SwapSpreadIndex,A</v>
      </c>
    </row>
    <row r="15" spans="1:3">
      <c r="A15" s="33" t="s">
        <v>116</v>
      </c>
      <c r="B15" s="19"/>
      <c r="C15" s="20">
        <v>1</v>
      </c>
    </row>
    <row r="16" spans="1:3">
      <c r="A16" s="18" t="s">
        <v>117</v>
      </c>
      <c r="B16" s="19"/>
      <c r="C16" s="20">
        <v>1E-3</v>
      </c>
    </row>
    <row r="17" spans="1:3">
      <c r="A17" s="18" t="s">
        <v>118</v>
      </c>
      <c r="B17" s="19"/>
      <c r="C17" s="22">
        <v>45293</v>
      </c>
    </row>
    <row r="18" spans="1:3">
      <c r="A18" s="18" t="s">
        <v>119</v>
      </c>
      <c r="B18" s="19"/>
      <c r="C18" s="22">
        <v>45475</v>
      </c>
    </row>
    <row r="19" spans="1:3">
      <c r="A19" s="18" t="s">
        <v>120</v>
      </c>
      <c r="B19" s="19"/>
      <c r="C19" s="20" t="s">
        <v>127</v>
      </c>
    </row>
    <row r="20" spans="1:3">
      <c r="A20" s="18" t="s">
        <v>121</v>
      </c>
      <c r="B20" s="19"/>
      <c r="C20" s="20" t="b">
        <v>0</v>
      </c>
    </row>
    <row r="21" spans="1:3">
      <c r="A21" s="18" t="s">
        <v>130</v>
      </c>
      <c r="B21" s="19"/>
      <c r="C21" s="22">
        <v>45475</v>
      </c>
    </row>
    <row r="22" spans="1:3">
      <c r="A22" s="18" t="s">
        <v>123</v>
      </c>
      <c r="B22" s="19"/>
      <c r="C22" s="34" t="s">
        <v>128</v>
      </c>
    </row>
    <row r="23" spans="1:3" ht="15">
      <c r="A23" s="29" t="s">
        <v>147</v>
      </c>
      <c r="B23" s="19" t="str">
        <f>_xll.qlCmsSpreadCoupon(B4,B5,B6,B7,B8,B14,,,,,,,,,B14)</f>
        <v>欣[test_cashflows.xlsx]CmsSpreadCoupon!R23C2CmsSpreadCoupon,A</v>
      </c>
      <c r="C23" s="20" t="str">
        <f>_xll.qlCmsSpreadCoupon(C4,C5,C6,C7,C8,C14,C15,C16,C17,C18,C19,C20,C21,C22,C14)</f>
        <v>欣[test_cashflows.xlsx]CmsSpreadCoupon!R23C3CmsSpreadCoupon,A</v>
      </c>
    </row>
    <row r="24" spans="1:3">
      <c r="A24" s="35" t="s">
        <v>153</v>
      </c>
      <c r="B24" s="10" t="str">
        <f>_xll.qlConstantSwaptionVolatility($B$1,"TARGET","FOLLOWING",0.02,"ACTUAL365FIXED",,,"B20)")</f>
        <v>欣[test_cashflows.xlsx]CmsSpreadCoupon!R24C2SwaptionVolatilityStructureHandle,A</v>
      </c>
      <c r="C24" s="11" t="str">
        <f>_xll.qlConstantSwaptionVolatility($B$1,"TARGET","FOLLOWING",0.02,"ACTUAL365FIXED",,,"B20)")</f>
        <v>欣[test_cashflows.xlsx]CmsSpreadCoupon!R24C3SwaptionVolatilityStructureHandle,A</v>
      </c>
    </row>
    <row r="25" spans="1:3">
      <c r="A25" s="31" t="s">
        <v>154</v>
      </c>
      <c r="B25" s="19" t="s">
        <v>156</v>
      </c>
      <c r="C25" s="20" t="s">
        <v>156</v>
      </c>
    </row>
    <row r="26" spans="1:3">
      <c r="A26" s="31" t="s">
        <v>155</v>
      </c>
      <c r="B26" s="19">
        <v>0.01</v>
      </c>
      <c r="C26" s="20">
        <v>0.01</v>
      </c>
    </row>
    <row r="27" spans="1:3" ht="15">
      <c r="A27" s="39" t="s">
        <v>159</v>
      </c>
      <c r="B27" s="19" t="str">
        <f>_xll.qlAnalyticHaganPricer(B24,B25,B26)</f>
        <v>欣[test_cashflows.xlsx]CmsSpreadCoupon!R27C2AnalyticHaganPricer,A</v>
      </c>
      <c r="C27" s="20" t="str">
        <f>_xll.qlAnalyticHaganPricer(C24,C25,C26)</f>
        <v>欣[test_cashflows.xlsx]CmsSpreadCoupon!R27C3AnalyticHaganPricer,A</v>
      </c>
    </row>
    <row r="28" spans="1:3" ht="15">
      <c r="A28" s="39" t="s">
        <v>162</v>
      </c>
      <c r="B28" s="19">
        <v>0.5</v>
      </c>
      <c r="C28" s="20">
        <v>0.5</v>
      </c>
    </row>
    <row r="29" spans="1:3" ht="15">
      <c r="A29" s="36" t="s">
        <v>161</v>
      </c>
      <c r="B29" s="13" t="str">
        <f>_xll.qlLognormalCmsSpreadPricer(B27,B28,,,,,,B27)</f>
        <v>欣[test_cashflows.xlsx]CmsSpreadCoupon!R29C2LognormalCmsSpreadPricer,A</v>
      </c>
      <c r="C29" s="14" t="str">
        <f>_xll.qlLognormalCmsSpreadPricer(C27,C28,,,,,,C27)</f>
        <v>欣[test_cashflows.xlsx]CmsSpreadCoupon!R29C3LognormalCmsSpreadPricer,A</v>
      </c>
    </row>
    <row r="30" spans="1:3" ht="15">
      <c r="A30" s="23" t="s">
        <v>132</v>
      </c>
      <c r="B30" s="13" t="b">
        <f>_xll.qlFloatingRateCouponSetPricer(B23,B29)</f>
        <v>1</v>
      </c>
      <c r="C30" s="14" t="b">
        <f>_xll.qlFloatingRateCouponSetPricer(C23,C29)</f>
        <v>1</v>
      </c>
    </row>
    <row r="31" spans="1:3" ht="15">
      <c r="A31" s="29" t="s">
        <v>61</v>
      </c>
      <c r="B31" s="19">
        <f>_xll.qlCouponNominal(B23,B30)</f>
        <v>100</v>
      </c>
      <c r="C31" s="20">
        <f>_xll.qlCouponNominal(C23,C30)</f>
        <v>100</v>
      </c>
    </row>
    <row r="32" spans="1:3" ht="15">
      <c r="A32" s="24" t="s">
        <v>62</v>
      </c>
      <c r="B32" s="25">
        <f>_xll.qlCouponAccrualStartDate(B23,B30)</f>
        <v>45293</v>
      </c>
      <c r="C32" s="26">
        <f>_xll.qlCouponAccrualStartDate(C23,C30)</f>
        <v>45293</v>
      </c>
    </row>
    <row r="33" spans="1:3" ht="15">
      <c r="A33" s="29" t="s">
        <v>63</v>
      </c>
      <c r="B33" s="21">
        <f>_xll.qlCouponAccrualEndDate(B23,B30)</f>
        <v>45475</v>
      </c>
      <c r="C33" s="22">
        <f>_xll.qlCouponAccrualEndDate(C23,C30)</f>
        <v>45475</v>
      </c>
    </row>
    <row r="34" spans="1:3" ht="15">
      <c r="A34" s="24" t="s">
        <v>64</v>
      </c>
      <c r="B34" s="25">
        <f>_xll.qlCouponReferencePeriodStart(B23,B30)</f>
        <v>45293</v>
      </c>
      <c r="C34" s="26">
        <f>_xll.qlCouponReferencePeriodStart(C23,C30)</f>
        <v>45293</v>
      </c>
    </row>
    <row r="35" spans="1:3" ht="15">
      <c r="A35" s="29" t="s">
        <v>65</v>
      </c>
      <c r="B35" s="21">
        <f>_xll.qlCouponReferencePeriodEnd(B23,B30)</f>
        <v>45475</v>
      </c>
      <c r="C35" s="22">
        <f>_xll.qlCouponReferencePeriodEnd(C23,C30)</f>
        <v>45475</v>
      </c>
    </row>
    <row r="36" spans="1:3" ht="15">
      <c r="A36" s="24" t="s">
        <v>66</v>
      </c>
      <c r="B36" s="27">
        <f>_xll.qlCouponExCouponDate(B23,B30)</f>
        <v>0</v>
      </c>
      <c r="C36" s="28">
        <f>_xll.qlCouponExCouponDate(C23,C30)</f>
        <v>45475</v>
      </c>
    </row>
    <row r="37" spans="1:3" ht="15">
      <c r="A37" s="29" t="s">
        <v>67</v>
      </c>
      <c r="B37" s="19">
        <f>_xll.qlCouponRate(B23,B30)</f>
        <v>0</v>
      </c>
      <c r="C37" s="20">
        <f>_xll.qlCouponRate(C23,C30)</f>
        <v>1E-3</v>
      </c>
    </row>
    <row r="38" spans="1:3" ht="15">
      <c r="A38" s="24" t="s">
        <v>68</v>
      </c>
      <c r="B38" s="27">
        <f>_xll.qlCouponAccrualPeriod(B23,B30)</f>
        <v>0.49863013698630138</v>
      </c>
      <c r="C38" s="28">
        <f>_xll.qlCouponAccrualPeriod(C23,C30)</f>
        <v>0.49863013698630138</v>
      </c>
    </row>
    <row r="39" spans="1:3" ht="15">
      <c r="A39" s="29" t="s">
        <v>69</v>
      </c>
      <c r="B39" s="19">
        <f>_xll.qlCouponAccrualDays(B23,B30)</f>
        <v>182</v>
      </c>
      <c r="C39" s="20">
        <f>_xll.qlCouponAccrualDays(C23,C30)</f>
        <v>182</v>
      </c>
    </row>
    <row r="40" spans="1:3" ht="15">
      <c r="A40" s="24" t="s">
        <v>70</v>
      </c>
      <c r="B40" s="27" t="str">
        <f>_xll.qlCouponDayCounter(B23,B30)</f>
        <v>Actual/365 (Fixed)</v>
      </c>
      <c r="C40" s="28" t="str">
        <f>_xll.qlCouponDayCounter(C23,C30)</f>
        <v>Actual/365 (Fixed)</v>
      </c>
    </row>
    <row r="41" spans="1:3" ht="15">
      <c r="A41" s="29" t="s">
        <v>71</v>
      </c>
      <c r="B41" s="19">
        <f>_xll.qlCouponAccruedAmount(B23,"01.10.2024",B30)</f>
        <v>0</v>
      </c>
      <c r="C41" s="20">
        <f>_xll.qlCouponAccruedAmount(C23,"01.10.2024",C30)</f>
        <v>0</v>
      </c>
    </row>
    <row r="42" spans="1:3" ht="15">
      <c r="A42" s="24" t="s">
        <v>72</v>
      </c>
      <c r="B42" s="25">
        <f>_xll.qlFloatingRateCouponFixingDate(B23,B30)</f>
        <v>45288</v>
      </c>
      <c r="C42" s="26">
        <f>_xll.qlFloatingRateCouponFixingDate(C23,C30)</f>
        <v>45288</v>
      </c>
    </row>
    <row r="43" spans="1:3" ht="15">
      <c r="A43" s="29" t="s">
        <v>73</v>
      </c>
      <c r="B43" s="19">
        <f>_xll.qlFloatingRateCouponFixingDays(B23,B30)</f>
        <v>2</v>
      </c>
      <c r="C43" s="20">
        <f>_xll.qlFloatingRateCouponFixingDays(C23,C30)</f>
        <v>2</v>
      </c>
    </row>
    <row r="44" spans="1:3" ht="15">
      <c r="A44" s="24" t="s">
        <v>129</v>
      </c>
      <c r="B44" s="27" t="str">
        <f>_xll.qlFloatingRateCouponFixingConvention(B23,B30)</f>
        <v>PRECEDING</v>
      </c>
      <c r="C44" s="28" t="str">
        <f>_xll.qlFloatingRateCouponFixingConvention(C23,C30)</f>
        <v>FOLLOWING</v>
      </c>
    </row>
    <row r="45" spans="1:3" ht="15">
      <c r="A45" s="29" t="s">
        <v>74</v>
      </c>
      <c r="B45" s="19" t="b">
        <f>_xll.qlFloatingRateCouponIsInArrears(B23,B30)</f>
        <v>0</v>
      </c>
      <c r="C45" s="20" t="b">
        <f>_xll.qlFloatingRateCouponIsInArrears(C23,C30)</f>
        <v>0</v>
      </c>
    </row>
    <row r="46" spans="1:3" ht="15">
      <c r="A46" s="24" t="s">
        <v>75</v>
      </c>
      <c r="B46" s="27">
        <f>_xll.qlFloatingRateCouponGearing(B23,B30)</f>
        <v>1</v>
      </c>
      <c r="C46" s="28">
        <f>_xll.qlFloatingRateCouponGearing(C23,C30)</f>
        <v>1</v>
      </c>
    </row>
    <row r="47" spans="1:3" ht="15">
      <c r="A47" s="29" t="s">
        <v>76</v>
      </c>
      <c r="B47" s="19">
        <f>_xll.qlFloatingRateCouponSpread(B23,B30)</f>
        <v>0</v>
      </c>
      <c r="C47" s="20">
        <f>_xll.qlFloatingRateCouponSpread(C23,C30)</f>
        <v>1E-3</v>
      </c>
    </row>
    <row r="48" spans="1:3" ht="15">
      <c r="A48" s="24" t="s">
        <v>77</v>
      </c>
      <c r="B48" s="27">
        <f>_xll.qlFloatingRateCouponIndexFixing(B23,B30)</f>
        <v>0</v>
      </c>
      <c r="C48" s="28">
        <f>_xll.qlFloatingRateCouponIndexFixing(C23,C30)</f>
        <v>0</v>
      </c>
    </row>
    <row r="49" spans="1:3" ht="15">
      <c r="A49" s="29" t="s">
        <v>78</v>
      </c>
      <c r="B49" s="19">
        <f>_xll.qlFloatingRateCouponAdjustedFixing(B23,B30)</f>
        <v>0</v>
      </c>
      <c r="C49" s="20">
        <f>_xll.qlFloatingRateCouponAdjustedFixing(C23,C30)</f>
        <v>0</v>
      </c>
    </row>
    <row r="50" spans="1:3" ht="15">
      <c r="A50" s="24" t="s">
        <v>79</v>
      </c>
      <c r="B50" s="27">
        <f>_xll.qlFloatingRateCouponConvexityAdjustment(B23,B30)</f>
        <v>0</v>
      </c>
      <c r="C50" s="28">
        <f>_xll.qlFloatingRateCouponConvexityAdjustment(C23,C30)</f>
        <v>0</v>
      </c>
    </row>
    <row r="51" spans="1:3">
      <c r="A51" s="30" t="s">
        <v>124</v>
      </c>
      <c r="B51" s="19" t="str">
        <f>_xll.qlFlatForward($B$1,0.02,"actual365fixed",,,B2)</f>
        <v>欣[test_cashflows.xlsx]CmsSpreadCoupon!R51C2YieldTermStructureHandle,A</v>
      </c>
      <c r="C51" s="20" t="str">
        <f>_xll.qlFlatForward($B$1,0.02,"actual365fixed",,,C2)</f>
        <v>欣[test_cashflows.xlsx]CmsSpreadCoupon!R51C3YieldTermStructureHandle,A</v>
      </c>
    </row>
    <row r="52" spans="1:3" ht="15">
      <c r="A52" s="29" t="s">
        <v>80</v>
      </c>
      <c r="B52" s="19">
        <f>_xll.qlFloatingRateCouponPrice(B23,B51,B30)</f>
        <v>0</v>
      </c>
      <c r="C52" s="20">
        <f>_xll.qlFloatingRateCouponPrice(C23,C51,C30)</f>
        <v>4.936822095803213E-2</v>
      </c>
    </row>
    <row r="53" spans="1:3" ht="15">
      <c r="A53" s="24" t="s">
        <v>81</v>
      </c>
      <c r="B53" s="27" t="str">
        <f>_xll.qlFloatingRateCouponIndex(B23,B30)</f>
        <v>欣[test_cashflows.xlsx]CmsSpreadCoupon!R53C2InterestRateIndex,A</v>
      </c>
      <c r="C53" s="28" t="str">
        <f>_xll.qlFloatingRateCouponIndex(C23,C30)</f>
        <v>欣[test_cashflows.xlsx]CmsSpreadCoupon!R53C3InterestRateIndex,A</v>
      </c>
    </row>
    <row r="55" spans="1:3">
      <c r="A55" s="38" t="s">
        <v>163</v>
      </c>
    </row>
    <row r="56" spans="1:3">
      <c r="A56" s="38" t="s">
        <v>164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Tabs</vt:lpstr>
      <vt:lpstr>EvaluationDate</vt:lpstr>
      <vt:lpstr>CashFlows</vt:lpstr>
      <vt:lpstr>Coupons</vt:lpstr>
      <vt:lpstr>Legs</vt:lpstr>
      <vt:lpstr>IborCoupon</vt:lpstr>
      <vt:lpstr>CappedFlooredIborCoupon</vt:lpstr>
      <vt:lpstr>OvernightIndexedCoupon</vt:lpstr>
      <vt:lpstr>CmsCoupon</vt:lpstr>
      <vt:lpstr>CmsSpreadCoupon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2026-05-25T06:03:07Z</dcterms:created>
  <dcterms:modified xsi:type="dcterms:W3CDTF">2026-09-14T08:40:53Z</dcterms:modified>
</cp:coreProperties>
</file>