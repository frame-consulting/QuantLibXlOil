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AB1E9A92-C75D-4F7E-92B7-6B8A0CBC1F60}" xr6:coauthVersionLast="47" xr6:coauthVersionMax="47" xr10:uidLastSave="{00000000-0000-0000-0000-000000000000}"/>
  <bookViews>
    <workbookView xWindow="-120" yWindow="-120" windowWidth="29040" windowHeight="15720" xr2:uid="{03D12B07-F690-4065-A8E3-371E349FECFA}"/>
  </bookViews>
  <sheets>
    <sheet name="Tabs" sheetId="7" r:id="rId1"/>
    <sheet name="BlackConstantVol" sheetId="1" r:id="rId2"/>
    <sheet name="BlackVarianceCurve" sheetId="5" r:id="rId3"/>
    <sheet name="ConstantOptionletVolatility" sheetId="2" r:id="rId4"/>
    <sheet name="ConstantSwaptionVolatility" sheetId="3" r:id="rId5"/>
    <sheet name="SwaptionVolatilityMatrix" sheetId="4" r:id="rId6"/>
    <sheet name="SmileSect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B4" i="3"/>
  <c r="C4" i="2"/>
  <c r="B4" i="2"/>
  <c r="C20" i="2"/>
  <c r="B20" i="2"/>
  <c r="C12" i="2"/>
  <c r="B12" i="2"/>
  <c r="B4" i="1"/>
  <c r="B37" i="1"/>
  <c r="B36" i="1"/>
  <c r="B29" i="1"/>
  <c r="B28" i="1"/>
  <c r="B22" i="1"/>
  <c r="B14" i="1"/>
  <c r="B11" i="1"/>
  <c r="B16" i="1"/>
  <c r="C4" i="5"/>
  <c r="C59" i="3" a="1"/>
  <c r="B59" i="3" a="1"/>
  <c r="C8" i="6" a="1"/>
  <c r="E9" i="4" a="1"/>
  <c r="C55" i="6" a="1"/>
  <c r="E5" i="4" a="1"/>
  <c r="B11" i="3" a="1"/>
  <c r="B11" i="2" a="1"/>
  <c r="B105" i="6" a="1"/>
  <c r="C56" i="6" a="1"/>
  <c r="C54" i="6" a="1"/>
  <c r="C112" i="6" a="1"/>
  <c r="C105" i="6" a="1"/>
  <c r="C53" i="6" a="1"/>
  <c r="C11" i="2" a="1"/>
  <c r="B55" i="6" a="1"/>
  <c r="E8" i="4" a="1"/>
  <c r="B16" i="5" a="1"/>
  <c r="B56" i="6" a="1"/>
  <c r="C16" i="5" a="1"/>
  <c r="E7" i="4" a="1"/>
  <c r="C11" i="3" a="1"/>
  <c r="B8" i="1" a="1"/>
  <c r="B8" i="6" a="1"/>
  <c r="B54" i="6" a="1"/>
  <c r="B2" i="6" a="1"/>
  <c r="B53" i="6" a="1"/>
  <c r="B112" i="6" a="1"/>
  <c r="E6" i="4" a="1"/>
  <c r="C59" i="3" l="1"/>
  <c r="B59" i="3"/>
  <c r="B11" i="3"/>
  <c r="C11" i="3"/>
  <c r="C11" i="2"/>
  <c r="B11" i="2"/>
  <c r="C16" i="5"/>
  <c r="B16" i="5"/>
  <c r="B8" i="1"/>
  <c r="B56" i="6"/>
  <c r="B105" i="6"/>
  <c r="C8" i="6"/>
  <c r="B54" i="6"/>
  <c r="C54" i="6"/>
  <c r="C56" i="6"/>
  <c r="C105" i="6"/>
  <c r="B8" i="6"/>
  <c r="B55" i="6"/>
  <c r="B112" i="6"/>
  <c r="B2" i="6"/>
  <c r="B53" i="6"/>
  <c r="C53" i="6"/>
  <c r="C55" i="6"/>
  <c r="C112" i="6"/>
  <c r="E6" i="4"/>
  <c r="E7" i="4"/>
  <c r="E8" i="4"/>
  <c r="E9" i="4"/>
  <c r="E5" i="4"/>
  <c r="B55" i="3" a="1"/>
  <c r="C55" i="3" a="1"/>
  <c r="B43" i="3" a="1"/>
  <c r="C43" i="3" a="1"/>
  <c r="B39" i="3" a="1"/>
  <c r="C39" i="3" a="1"/>
  <c r="B9" i="1" a="1"/>
  <c r="C73" i="6" a="1"/>
  <c r="B14" i="6" a="1"/>
  <c r="B18" i="1" a="1"/>
  <c r="B19" i="2" a="1"/>
  <c r="C68" i="6" a="1"/>
  <c r="B15" i="2" a="1"/>
  <c r="C51" i="3" a="1"/>
  <c r="B82" i="6" a="1"/>
  <c r="C65" i="6" a="1"/>
  <c r="C31" i="3" a="1"/>
  <c r="B27" i="1" a="1"/>
  <c r="B7" i="4" a="1"/>
  <c r="B21" i="3" a="1"/>
  <c r="B11" i="6" a="1"/>
  <c r="C59" i="6" a="1"/>
  <c r="C67" i="6" a="1"/>
  <c r="B24" i="1" a="1"/>
  <c r="B85" i="6" a="1"/>
  <c r="C16" i="6" a="1"/>
  <c r="C58" i="6" a="1"/>
  <c r="B35" i="3" a="1"/>
  <c r="C61" i="6" a="1"/>
  <c r="C21" i="3" a="1"/>
  <c r="B15" i="1" a="1"/>
  <c r="C15" i="2" a="1"/>
  <c r="B71" i="6" a="1"/>
  <c r="B12" i="1" a="1"/>
  <c r="B57" i="6" a="1"/>
  <c r="B43" i="1" a="1"/>
  <c r="B77" i="6" a="1"/>
  <c r="B66" i="6" a="1"/>
  <c r="B26" i="3" a="1"/>
  <c r="B23" i="2" a="1"/>
  <c r="B73" i="6" a="1"/>
  <c r="B27" i="2" a="1"/>
  <c r="B47" i="3" a="1"/>
  <c r="B63" i="3" a="1"/>
  <c r="B58" i="6" a="1"/>
  <c r="C19" i="2" a="1"/>
  <c r="B59" i="6" a="1"/>
  <c r="B10" i="1" a="1"/>
  <c r="C57" i="6" a="1"/>
  <c r="B31" i="3" a="1"/>
  <c r="C66" i="6" a="1"/>
  <c r="B21" i="1" a="1"/>
  <c r="B16" i="3" a="1"/>
  <c r="B61" i="6" a="1"/>
  <c r="B39" i="1" a="1"/>
  <c r="C11" i="6" a="1"/>
  <c r="B67" i="6" a="1"/>
  <c r="C35" i="3" a="1"/>
  <c r="C63" i="3" a="1"/>
  <c r="C47" i="3" a="1"/>
  <c r="B16" i="6" a="1"/>
  <c r="B68" i="6" a="1"/>
  <c r="B31" i="1" a="1"/>
  <c r="B70" i="6" a="1"/>
  <c r="C27" i="2" a="1"/>
  <c r="C16" i="3" a="1"/>
  <c r="B87" i="6" a="1"/>
  <c r="C23" i="2" a="1"/>
  <c r="C87" i="6" a="1"/>
  <c r="C90" i="6" a="1"/>
  <c r="B65" i="6" a="1"/>
  <c r="B90" i="6" a="1"/>
  <c r="C14" i="6" a="1"/>
  <c r="C77" i="6" a="1"/>
  <c r="B51" i="3" a="1"/>
  <c r="C26" i="3" a="1"/>
  <c r="B35" i="1" a="1"/>
  <c r="C55" i="3" l="1"/>
  <c r="B55" i="3"/>
  <c r="C43" i="3"/>
  <c r="B43" i="3"/>
  <c r="C39" i="3"/>
  <c r="B39" i="3"/>
  <c r="C47" i="3"/>
  <c r="C63" i="3"/>
  <c r="B63" i="3"/>
  <c r="B47" i="3"/>
  <c r="C31" i="3"/>
  <c r="C21" i="3"/>
  <c r="C51" i="3"/>
  <c r="C35" i="3"/>
  <c r="C26" i="3"/>
  <c r="C16" i="3"/>
  <c r="B51" i="3"/>
  <c r="B16" i="3"/>
  <c r="B31" i="3"/>
  <c r="B21" i="3"/>
  <c r="B26" i="3"/>
  <c r="B35" i="3"/>
  <c r="B7" i="4"/>
  <c r="C27" i="2"/>
  <c r="B27" i="2"/>
  <c r="C23" i="2"/>
  <c r="B23" i="2"/>
  <c r="B19" i="2"/>
  <c r="C19" i="2"/>
  <c r="B15" i="2"/>
  <c r="C15" i="2"/>
  <c r="B43" i="1"/>
  <c r="B39" i="1"/>
  <c r="B35" i="1"/>
  <c r="B31" i="1"/>
  <c r="B27" i="1"/>
  <c r="B15" i="1"/>
  <c r="B24" i="1"/>
  <c r="B21" i="1"/>
  <c r="B18" i="1"/>
  <c r="B12" i="1"/>
  <c r="B9" i="1"/>
  <c r="C14" i="6"/>
  <c r="C16" i="6"/>
  <c r="C11" i="6"/>
  <c r="B14" i="6"/>
  <c r="B11" i="6"/>
  <c r="B16" i="6"/>
  <c r="B71" i="6"/>
  <c r="B70" i="6"/>
  <c r="B65" i="6"/>
  <c r="B57" i="6"/>
  <c r="B58" i="6"/>
  <c r="B87" i="6"/>
  <c r="B77" i="6"/>
  <c r="B67" i="6"/>
  <c r="B59" i="6"/>
  <c r="B61" i="6"/>
  <c r="B85" i="6"/>
  <c r="B90" i="6"/>
  <c r="B82" i="6"/>
  <c r="B73" i="6"/>
  <c r="B68" i="6"/>
  <c r="B66" i="6"/>
  <c r="C87" i="6"/>
  <c r="C65" i="6"/>
  <c r="C59" i="6"/>
  <c r="C57" i="6"/>
  <c r="C77" i="6"/>
  <c r="C67" i="6"/>
  <c r="C90" i="6"/>
  <c r="C73" i="6"/>
  <c r="C66" i="6"/>
  <c r="C61" i="6"/>
  <c r="C68" i="6"/>
  <c r="C58" i="6"/>
  <c r="B10" i="1"/>
  <c r="B30" i="6" a="1"/>
  <c r="C31" i="6" a="1"/>
  <c r="B33" i="6" a="1"/>
  <c r="C27" i="6" a="1"/>
  <c r="C33" i="6" a="1"/>
  <c r="B26" i="6" a="1"/>
  <c r="C19" i="6" a="1"/>
  <c r="C30" i="6" a="1"/>
  <c r="C28" i="6" a="1"/>
  <c r="B25" i="6" a="1"/>
  <c r="B92" i="6" a="1"/>
  <c r="C35" i="6" a="1"/>
  <c r="C92" i="6" a="1"/>
  <c r="B9" i="4" a="1"/>
  <c r="C21" i="6" a="1"/>
  <c r="C26" i="6" a="1"/>
  <c r="B21" i="6" a="1"/>
  <c r="B17" i="6" a="1"/>
  <c r="C25" i="6" a="1"/>
  <c r="B27" i="6" a="1"/>
  <c r="B18" i="6" a="1"/>
  <c r="C18" i="6" a="1"/>
  <c r="C94" i="6" a="1"/>
  <c r="B35" i="6" a="1"/>
  <c r="C17" i="6" a="1"/>
  <c r="C96" i="6" a="1"/>
  <c r="B31" i="6" a="1"/>
  <c r="B19" i="6" a="1"/>
  <c r="B94" i="6" a="1"/>
  <c r="B96" i="6" a="1"/>
  <c r="B28" i="6" a="1"/>
  <c r="C33" i="6" l="1"/>
  <c r="C30" i="6"/>
  <c r="C27" i="6"/>
  <c r="C25" i="6"/>
  <c r="C19" i="6"/>
  <c r="C17" i="6"/>
  <c r="C21" i="6"/>
  <c r="C28" i="6"/>
  <c r="C35" i="6"/>
  <c r="C18" i="6"/>
  <c r="C31" i="6"/>
  <c r="C26" i="6"/>
  <c r="B96" i="6"/>
  <c r="B92" i="6"/>
  <c r="B94" i="6"/>
  <c r="C92" i="6"/>
  <c r="C96" i="6"/>
  <c r="C94" i="6"/>
  <c r="B30" i="6"/>
  <c r="B27" i="6"/>
  <c r="B25" i="6"/>
  <c r="B17" i="6"/>
  <c r="B31" i="6"/>
  <c r="B28" i="6"/>
  <c r="B33" i="6"/>
  <c r="B19" i="6"/>
  <c r="B35" i="6"/>
  <c r="B21" i="6"/>
  <c r="B26" i="6"/>
  <c r="B18" i="6"/>
  <c r="B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<sst xmlns="http://schemas.openxmlformats.org/spreadsheetml/2006/main" count="324" uniqueCount="135">
  <si>
    <t>Reference date</t>
  </si>
  <si>
    <t>Calender</t>
  </si>
  <si>
    <t>NullCalendar</t>
  </si>
  <si>
    <t>Day counter</t>
  </si>
  <si>
    <t>Act/365</t>
  </si>
  <si>
    <t>Volatility</t>
  </si>
  <si>
    <t>qlBlackConstantVol</t>
  </si>
  <si>
    <t>qlBlackVolTermStructureMinStrike</t>
  </si>
  <si>
    <t>qlBlackVolTermStructureMaxStrike</t>
  </si>
  <si>
    <t>Expiry date</t>
  </si>
  <si>
    <t>qlBlackVolTermStructureBlackVol</t>
  </si>
  <si>
    <t>qlBlackVolTermStructureBlackVolFromTime</t>
  </si>
  <si>
    <t>qlBlackVolTermStructureBlackVariance</t>
  </si>
  <si>
    <t>qlBlackVolTermStructureBlackVarianceFromTime</t>
  </si>
  <si>
    <t>qlBlackVolTermStructureBlackForwardVol</t>
  </si>
  <si>
    <t>qlBlackVolTermStructureBlackForwardVolFromTime</t>
  </si>
  <si>
    <t>qlBlackVolTermStructureBlackForwardVariance</t>
  </si>
  <si>
    <t>qlBlackVolTermStructureBlackForwardVarianceFromTime</t>
  </si>
  <si>
    <t>reference_date</t>
  </si>
  <si>
    <t>calendar</t>
  </si>
  <si>
    <t>business_day_convention</t>
  </si>
  <si>
    <t>volatility</t>
  </si>
  <si>
    <t>day_counter</t>
  </si>
  <si>
    <t>volatility_type</t>
  </si>
  <si>
    <t>shift</t>
  </si>
  <si>
    <t>Following</t>
  </si>
  <si>
    <t>qlConstantOptionletVolatility</t>
  </si>
  <si>
    <t>Normal</t>
  </si>
  <si>
    <t>expiry_date</t>
  </si>
  <si>
    <t>strike</t>
  </si>
  <si>
    <t>extrapolate</t>
  </si>
  <si>
    <t>qlOptionletVolatilityStructureVolatility</t>
  </si>
  <si>
    <t>qlOptionletVolatilityStructureVolatilityFromTime</t>
  </si>
  <si>
    <t>qlOptionletVolatilityStructureBlackVariance</t>
  </si>
  <si>
    <t>qlOptionletVolatilityStructureBlackVarianceFromTime</t>
  </si>
  <si>
    <t>qlConstantSwaptionVolatility</t>
  </si>
  <si>
    <t>swap_tenor</t>
  </si>
  <si>
    <t>swap_length</t>
  </si>
  <si>
    <t>qlTermStructureTimeFromReference</t>
  </si>
  <si>
    <t>qlSwaptionVolatilityStructureVolatility</t>
  </si>
  <si>
    <t>qlSwaptionVolatilityStructureVolatilityFromTime</t>
  </si>
  <si>
    <t>qlSwaptionVolatilityStructureBlackVariance</t>
  </si>
  <si>
    <t>qlSwaptionVolatilityStructureBlackVarianceFromTime</t>
  </si>
  <si>
    <t>qlSwaptionVolatilityStructureShift</t>
  </si>
  <si>
    <t>qlSwaptionVolatilityStructureSmileSection</t>
  </si>
  <si>
    <t>Expiries</t>
  </si>
  <si>
    <t>Expiry_dates</t>
  </si>
  <si>
    <t>1Y</t>
  </si>
  <si>
    <t>3Y</t>
  </si>
  <si>
    <t>4Y</t>
  </si>
  <si>
    <t>5Y</t>
  </si>
  <si>
    <t>Lengths</t>
  </si>
  <si>
    <t>2Y</t>
  </si>
  <si>
    <t>10Y</t>
  </si>
  <si>
    <t>act/365</t>
  </si>
  <si>
    <t>qlSwaptionVolatilityMatrix</t>
  </si>
  <si>
    <t>volatility type</t>
  </si>
  <si>
    <t>dates</t>
  </si>
  <si>
    <t>volatilities</t>
  </si>
  <si>
    <t>force_monotone_variance</t>
  </si>
  <si>
    <t>time_extrapolation_type</t>
  </si>
  <si>
    <t>FlatVolatility</t>
  </si>
  <si>
    <t>qlBlackVarianceCurve</t>
  </si>
  <si>
    <t>ref_date</t>
  </si>
  <si>
    <t>evaluation_date (qlSettingsSetEvaluationDate)</t>
  </si>
  <si>
    <t>qlBlackVolTermStructureSmileSection</t>
  </si>
  <si>
    <t>qlBlackVolTermStructureSmileSectionFromTime</t>
  </si>
  <si>
    <t>qlBlackVolTermStructureAtmLevel</t>
  </si>
  <si>
    <t>qlLinearInterpolatedSmileSection</t>
  </si>
  <si>
    <t>qlSmileSectionMinStrike</t>
  </si>
  <si>
    <t>qlSmileSectionMaxStrike</t>
  </si>
  <si>
    <t>qlSmileSectionAtmLevel</t>
  </si>
  <si>
    <t>qlSmileSectionVolatility</t>
  </si>
  <si>
    <t>qlSmileSectionVariance</t>
  </si>
  <si>
    <t>qlSmileSectionDensity</t>
  </si>
  <si>
    <t>qlSmileSectionOptionPrice</t>
  </si>
  <si>
    <t>qlSmileSectionRNDCalculator</t>
  </si>
  <si>
    <t>qlSmileSectionRNDCalculatorPDF</t>
  </si>
  <si>
    <t>qlSmileSectionRNDCalculatorCDF</t>
  </si>
  <si>
    <t>qlSmileSectionRNDCalculatorInverseCDF</t>
  </si>
  <si>
    <t>TARGET</t>
  </si>
  <si>
    <t>Actual365Fixed</t>
  </si>
  <si>
    <t>maturity</t>
  </si>
  <si>
    <t>time</t>
  </si>
  <si>
    <t>expiry_time</t>
  </si>
  <si>
    <t>strikes</t>
  </si>
  <si>
    <t>standard_deviations</t>
  </si>
  <si>
    <t>atm_level</t>
  </si>
  <si>
    <t>flat_strike_extrapolation</t>
  </si>
  <si>
    <t>ShiftedLogNormal</t>
  </si>
  <si>
    <t xml:space="preserve">strike </t>
  </si>
  <si>
    <t>option_type</t>
  </si>
  <si>
    <t>discount</t>
  </si>
  <si>
    <t>n_strikes</t>
  </si>
  <si>
    <t>n_std</t>
  </si>
  <si>
    <t>value</t>
  </si>
  <si>
    <t>probability</t>
  </si>
  <si>
    <t>qlSmileSectionExerciseDate</t>
  </si>
  <si>
    <t>qlSmileSectionDayCounter</t>
  </si>
  <si>
    <t>qlSmileSectionVolatility2</t>
  </si>
  <si>
    <t>qlSmileSectionVolatilityType</t>
  </si>
  <si>
    <t>qlSmileSectionShift</t>
  </si>
  <si>
    <t>qlSmileSectionReferenceDate</t>
  </si>
  <si>
    <t>qlSmileSectionExerciseTime</t>
  </si>
  <si>
    <t>discont</t>
  </si>
  <si>
    <t>gap</t>
  </si>
  <si>
    <t>qlSmileSectionDigitalOptionPrice</t>
  </si>
  <si>
    <t>qlSmileSectionVega</t>
  </si>
  <si>
    <t>Call</t>
  </si>
  <si>
    <t>date</t>
  </si>
  <si>
    <t>actual365fixed</t>
  </si>
  <si>
    <t>qlFlatSmileSection</t>
  </si>
  <si>
    <t>qlCubicInterpolatedSmileSection</t>
  </si>
  <si>
    <t>qlMonotonicCubicInterpolatedSmileSection</t>
  </si>
  <si>
    <t>qlSplineCubicInterpolatedSmileSection</t>
  </si>
  <si>
    <t>qlFlatSmileSection2</t>
  </si>
  <si>
    <t>Tabs</t>
  </si>
  <si>
    <t>BlackConstantVol</t>
  </si>
  <si>
    <t>BlackVarianceCurve</t>
  </si>
  <si>
    <t>ConstantOptionletVolatility</t>
  </si>
  <si>
    <t>ConstantSwaptionVolatility</t>
  </si>
  <si>
    <t>SwaptionVolatilityMatrix</t>
  </si>
  <si>
    <t>SmileSection</t>
  </si>
  <si>
    <t>date_start</t>
  </si>
  <si>
    <t>date_end</t>
  </si>
  <si>
    <t>time_start</t>
  </si>
  <si>
    <t>time_end</t>
  </si>
  <si>
    <t>option_date</t>
  </si>
  <si>
    <t>option_time</t>
  </si>
  <si>
    <t>qlSwaptionVolatilityStructureShiftFromTime2</t>
  </si>
  <si>
    <t>qlSwaptionVolatilityStructureSmileSectionFromTime2</t>
  </si>
  <si>
    <t>qlSwaptionVolatilityStructureShift2</t>
  </si>
  <si>
    <t>qlSwaptionVolatilityStructureShiftFromTime</t>
  </si>
  <si>
    <t>qlSwaptionVolatilityStructureSmileSection2</t>
  </si>
  <si>
    <t>qlSwaptionVolatilityStructureSmileSectionFromTime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</si>
</sst>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0" borderId="1" xfId="0" applyBorder="1"/>
    <xf numFmtId="0" fontId="0" fillId="0" borderId="2" xfId="0" applyBorder="1"/>
    <xf numFmtId="14" fontId="0" fillId="0" borderId="3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4" fillId="0" borderId="1" xfId="0" applyFont="1" applyBorder="1"/>
    <xf numFmtId="14" fontId="0" fillId="0" borderId="5" xfId="0" applyNumberFormat="1" applyBorder="1" applyAlignment="1">
      <alignment horizontal="left"/>
    </xf>
    <xf numFmtId="0" fontId="4" fillId="0" borderId="6" xfId="0" applyFont="1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6" xfId="0" applyFont="1" applyBorder="1"/>
    <xf numFmtId="14" fontId="0" fillId="0" borderId="0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2" fillId="0" borderId="6" xfId="0" applyFont="1" applyBorder="1"/>
    <xf numFmtId="0" fontId="0" fillId="0" borderId="6" xfId="0" applyFont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Font="1" applyBorder="1"/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1" xfId="0" applyFont="1" applyBorder="1"/>
    <xf numFmtId="0" fontId="2" fillId="0" borderId="2" xfId="0" applyFont="1" applyBorder="1"/>
    <xf numFmtId="0" fontId="0" fillId="0" borderId="2" xfId="0" applyFont="1" applyBorder="1"/>
    <xf numFmtId="0" fontId="2" fillId="0" borderId="9" xfId="0" applyFon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6" fillId="0" borderId="6" xfId="0" applyFont="1" applyBorder="1"/>
    <xf numFmtId="0" fontId="7" fillId="0" borderId="6" xfId="0" applyFont="1" applyBorder="1"/>
    <xf numFmtId="0" fontId="5" fillId="0" borderId="0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7" fillId="0" borderId="2" xfId="0" applyFont="1" applyBorder="1"/>
    <xf numFmtId="0" fontId="7" fillId="0" borderId="9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0" fillId="0" borderId="6" xfId="0" applyBorder="1"/>
    <xf numFmtId="0" fontId="0" fillId="0" borderId="5" xfId="0" applyNumberFormat="1" applyBorder="1" applyAlignment="1">
      <alignment horizontal="left"/>
    </xf>
    <xf numFmtId="0" fontId="0" fillId="0" borderId="3" xfId="0" applyNumberFormat="1" applyBorder="1" applyAlignment="1">
      <alignment horizontal="left"/>
    </xf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0" xfId="0" applyNumberFormat="1" applyAlignment="1">
      <alignment horizontal="left"/>
    </xf>
    <xf numFmtId="2" fontId="0" fillId="0" borderId="4" xfId="0" applyNumberFormat="1" applyBorder="1" applyAlignment="1">
      <alignment horizontal="left"/>
    </xf>
    <xf numFmtId="0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0" fontId="0" fillId="0" borderId="7" xfId="1" applyNumberFormat="1" applyFont="1" applyBorder="1" applyAlignment="1">
      <alignment horizontal="left"/>
    </xf>
    <xf numFmtId="164" fontId="0" fillId="0" borderId="8" xfId="1" applyNumberFormat="1" applyFont="1" applyBorder="1" applyAlignment="1">
      <alignment horizontal="left"/>
    </xf>
    <xf numFmtId="10" fontId="0" fillId="0" borderId="4" xfId="1" applyNumberFormat="1" applyFont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10" fontId="0" fillId="0" borderId="8" xfId="1" applyNumberFormat="1" applyFont="1" applyBorder="1" applyAlignment="1">
      <alignment horizontal="left"/>
    </xf>
    <xf numFmtId="165" fontId="0" fillId="0" borderId="4" xfId="1" applyNumberFormat="1" applyFont="1" applyBorder="1" applyAlignment="1">
      <alignment horizontal="left"/>
    </xf>
    <xf numFmtId="164" fontId="0" fillId="0" borderId="4" xfId="1" applyNumberFormat="1" applyFont="1" applyBorder="1" applyAlignment="1">
      <alignment horizontal="left"/>
    </xf>
    <xf numFmtId="0" fontId="0" fillId="0" borderId="0" xfId="1" applyNumberFormat="1" applyFont="1" applyBorder="1" applyAlignment="1">
      <alignment horizontal="left"/>
    </xf>
    <xf numFmtId="0" fontId="0" fillId="0" borderId="5" xfId="1" applyNumberFormat="1" applyFont="1" applyBorder="1" applyAlignment="1">
      <alignment horizontal="left"/>
    </xf>
    <xf numFmtId="0" fontId="0" fillId="0" borderId="3" xfId="1" applyNumberFormat="1" applyFont="1" applyBorder="1" applyAlignment="1">
      <alignment horizontal="left"/>
    </xf>
    <xf numFmtId="0" fontId="0" fillId="0" borderId="7" xfId="1" applyNumberFormat="1" applyFont="1" applyBorder="1" applyAlignment="1">
      <alignment horizontal="left"/>
    </xf>
    <xf numFmtId="0" fontId="0" fillId="0" borderId="6" xfId="0" applyFill="1" applyBorder="1"/>
    <xf numFmtId="0" fontId="3" fillId="0" borderId="4" xfId="1" applyNumberFormat="1" applyFont="1" applyBorder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A50D-4C60-4855-B477-8DA1328A4787}">
  <dimension ref="B2:B9"/>
  <sheetViews>
    <sheetView tabSelected="1" workbookViewId="0"/>
  </sheetViews>
  <sheetFormatPr baseColWidth="10" defaultRowHeight="15" x14ac:dyDescent="0.25"/>
  <cols>
    <col min="2" max="2" width="25" bestFit="1" customWidth="1"/>
  </cols>
  <sheetData>
    <row r="2" spans="2:2" ht="15.75" thickBot="1" x14ac:dyDescent="0.3"/>
    <row r="3" spans="2:2" ht="15.75" thickBot="1" x14ac:dyDescent="0.3">
      <c r="B3" s="44" t="s">
        <v>116</v>
      </c>
    </row>
    <row r="4" spans="2:2" x14ac:dyDescent="0.25">
      <c r="B4" s="45" t="s">
        <v>117</v>
      </c>
    </row>
    <row r="5" spans="2:2" x14ac:dyDescent="0.25">
      <c r="B5" s="46" t="s">
        <v>118</v>
      </c>
    </row>
    <row r="6" spans="2:2" x14ac:dyDescent="0.25">
      <c r="B6" s="46" t="s">
        <v>119</v>
      </c>
    </row>
    <row r="7" spans="2:2" x14ac:dyDescent="0.25">
      <c r="B7" s="46" t="s">
        <v>120</v>
      </c>
    </row>
    <row r="8" spans="2:2" x14ac:dyDescent="0.25">
      <c r="B8" s="46" t="s">
        <v>121</v>
      </c>
    </row>
    <row r="9" spans="2:2" ht="15.75" thickBot="1" x14ac:dyDescent="0.3">
      <c r="B9" s="47" t="s">
        <v>122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CB12-2788-4E2C-8BB6-4299B43B8B3E}">
  <dimension ref="A1:B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1" sqref="B11"/>
    </sheetView>
  </sheetViews>
  <sheetFormatPr baseColWidth="10" defaultColWidth="9.140625" defaultRowHeight="15" x14ac:dyDescent="0.25"/>
  <cols>
    <col min="1" max="1" width="52.7109375" bestFit="1" customWidth="1"/>
    <col min="2" max="2" width="73.42578125" style="9" bestFit="1" customWidth="1"/>
    <col min="4" max="4" width="6.28515625" bestFit="1" customWidth="1"/>
  </cols>
  <sheetData>
    <row r="1" spans="1:2" x14ac:dyDescent="0.25">
      <c r="A1" t="s">
        <v>0</v>
      </c>
      <c r="B1" s="48">
        <v>46174</v>
      </c>
    </row>
    <row r="2" spans="1:2" x14ac:dyDescent="0.25">
      <c r="B2" s="48"/>
    </row>
    <row r="3" spans="1:2" x14ac:dyDescent="0.25">
      <c r="B3" s="48"/>
    </row>
    <row r="4" spans="1:2" x14ac:dyDescent="0.25">
      <c r="A4" s="5" t="s">
        <v>18</v>
      </c>
      <c r="B4" s="7">
        <f>B1</f>
        <v>46174</v>
      </c>
    </row>
    <row r="5" spans="1:2" x14ac:dyDescent="0.25">
      <c r="A5" s="41" t="s">
        <v>1</v>
      </c>
      <c r="B5" s="15" t="s">
        <v>2</v>
      </c>
    </row>
    <row r="6" spans="1:2" x14ac:dyDescent="0.25">
      <c r="A6" s="41" t="s">
        <v>5</v>
      </c>
      <c r="B6" s="15">
        <v>0.25</v>
      </c>
    </row>
    <row r="7" spans="1:2" x14ac:dyDescent="0.25">
      <c r="A7" s="41" t="s">
        <v>3</v>
      </c>
      <c r="B7" s="15" t="s">
        <v>4</v>
      </c>
    </row>
    <row r="8" spans="1:2" x14ac:dyDescent="0.25">
      <c r="A8" s="27" t="s">
        <v>6</v>
      </c>
      <c r="B8" s="22" t="str" cm="1">
        <f t="array" ref="B8">_xll.qlBlackConstantVol(B4,B5,B6,B7)</f>
        <v>欣[test_volatilities.xlsx]BlackConstantVol!R8C2BlackVolTermStructureHandle,A</v>
      </c>
    </row>
    <row r="9" spans="1:2" x14ac:dyDescent="0.25">
      <c r="A9" s="19" t="s">
        <v>7</v>
      </c>
      <c r="B9" s="15" cm="1">
        <f t="array" ref="B9">_xll.qlBlackVolTermStructureMinStrike(B8)</f>
        <v>-1.7976931348623157E+308</v>
      </c>
    </row>
    <row r="10" spans="1:2" x14ac:dyDescent="0.25">
      <c r="A10" s="29" t="s">
        <v>8</v>
      </c>
      <c r="B10" s="31" cm="1">
        <f t="array" ref="B10">_xll.qlBlackVolTermStructureMaxStrike(B8)</f>
        <v>1.7976931348623157E+308</v>
      </c>
    </row>
    <row r="11" spans="1:2" x14ac:dyDescent="0.25">
      <c r="A11" s="41" t="s">
        <v>9</v>
      </c>
      <c r="B11" s="18">
        <f>$B$1+365</f>
        <v>46539</v>
      </c>
    </row>
    <row r="12" spans="1:2" x14ac:dyDescent="0.25">
      <c r="A12" s="19" t="s">
        <v>38</v>
      </c>
      <c r="B12" s="51" cm="1">
        <f t="array" ref="B12">_xll.qlTermStructureTimeFromReference(B8,B11)</f>
        <v>1</v>
      </c>
    </row>
    <row r="13" spans="1:2" x14ac:dyDescent="0.25">
      <c r="A13" s="5" t="s">
        <v>29</v>
      </c>
      <c r="B13" s="25">
        <v>100</v>
      </c>
    </row>
    <row r="14" spans="1:2" x14ac:dyDescent="0.25">
      <c r="A14" s="41" t="s">
        <v>28</v>
      </c>
      <c r="B14" s="18">
        <f>$B$1+730</f>
        <v>46904</v>
      </c>
    </row>
    <row r="15" spans="1:2" x14ac:dyDescent="0.25">
      <c r="A15" s="27" t="s">
        <v>38</v>
      </c>
      <c r="B15" s="49" cm="1">
        <f t="array" ref="B15">_xll.qlTermStructureTimeFromReference(B8,B14)</f>
        <v>2</v>
      </c>
    </row>
    <row r="16" spans="1:2" x14ac:dyDescent="0.25">
      <c r="A16" s="41" t="s">
        <v>28</v>
      </c>
      <c r="B16" s="18">
        <f>B1+365</f>
        <v>46539</v>
      </c>
    </row>
    <row r="17" spans="1:2" x14ac:dyDescent="0.25">
      <c r="A17" s="41" t="s">
        <v>29</v>
      </c>
      <c r="B17" s="15">
        <v>100</v>
      </c>
    </row>
    <row r="18" spans="1:2" x14ac:dyDescent="0.25">
      <c r="A18" s="19" t="s">
        <v>10</v>
      </c>
      <c r="B18" s="15" cm="1">
        <f t="array" ref="B18">_xll.qlBlackVolTermStructureBlackVol(B8,B16,B17)</f>
        <v>0.25</v>
      </c>
    </row>
    <row r="19" spans="1:2" x14ac:dyDescent="0.25">
      <c r="A19" s="23" t="s">
        <v>84</v>
      </c>
      <c r="B19" s="25">
        <v>1</v>
      </c>
    </row>
    <row r="20" spans="1:2" x14ac:dyDescent="0.25">
      <c r="A20" s="20" t="s">
        <v>29</v>
      </c>
      <c r="B20" s="15">
        <v>100</v>
      </c>
    </row>
    <row r="21" spans="1:2" x14ac:dyDescent="0.25">
      <c r="A21" s="27" t="s">
        <v>11</v>
      </c>
      <c r="B21" s="22" cm="1">
        <f t="array" ref="B21">_xll.qlBlackVolTermStructureBlackVolFromTime(B8,B19,B20)</f>
        <v>0.25</v>
      </c>
    </row>
    <row r="22" spans="1:2" x14ac:dyDescent="0.25">
      <c r="A22" s="41" t="s">
        <v>28</v>
      </c>
      <c r="B22" s="18">
        <f>$B$1+730</f>
        <v>46904</v>
      </c>
    </row>
    <row r="23" spans="1:2" x14ac:dyDescent="0.25">
      <c r="A23" s="20" t="s">
        <v>29</v>
      </c>
      <c r="B23" s="15">
        <v>100</v>
      </c>
    </row>
    <row r="24" spans="1:2" x14ac:dyDescent="0.25">
      <c r="A24" s="19" t="s">
        <v>12</v>
      </c>
      <c r="B24" s="15" cm="1">
        <f t="array" ref="B24">_xll.qlBlackVolTermStructureBlackVariance(B8,B22,B23)</f>
        <v>0.125</v>
      </c>
    </row>
    <row r="25" spans="1:2" x14ac:dyDescent="0.25">
      <c r="A25" s="23" t="s">
        <v>84</v>
      </c>
      <c r="B25" s="25">
        <v>2</v>
      </c>
    </row>
    <row r="26" spans="1:2" x14ac:dyDescent="0.25">
      <c r="A26" s="20" t="s">
        <v>29</v>
      </c>
      <c r="B26" s="15">
        <v>100</v>
      </c>
    </row>
    <row r="27" spans="1:2" x14ac:dyDescent="0.25">
      <c r="A27" s="27" t="s">
        <v>13</v>
      </c>
      <c r="B27" s="22" cm="1">
        <f t="array" ref="B27">_xll.qlBlackVolTermStructureBlackVarianceFromTime(B8,B25,B26)</f>
        <v>0.125</v>
      </c>
    </row>
    <row r="28" spans="1:2" x14ac:dyDescent="0.25">
      <c r="A28" s="20" t="s">
        <v>123</v>
      </c>
      <c r="B28" s="18">
        <f>$B$1+365</f>
        <v>46539</v>
      </c>
    </row>
    <row r="29" spans="1:2" x14ac:dyDescent="0.25">
      <c r="A29" s="20" t="s">
        <v>124</v>
      </c>
      <c r="B29" s="18">
        <f>$B$1+730</f>
        <v>46904</v>
      </c>
    </row>
    <row r="30" spans="1:2" x14ac:dyDescent="0.25">
      <c r="A30" s="20" t="s">
        <v>29</v>
      </c>
      <c r="B30" s="15">
        <v>100</v>
      </c>
    </row>
    <row r="31" spans="1:2" x14ac:dyDescent="0.25">
      <c r="A31" s="19" t="s">
        <v>14</v>
      </c>
      <c r="B31" s="15" cm="1">
        <f t="array" ref="B31">_xll.qlBlackVolTermStructureBlackForwardVol(B8,B28,B29,B30)</f>
        <v>0.25</v>
      </c>
    </row>
    <row r="32" spans="1:2" x14ac:dyDescent="0.25">
      <c r="A32" s="23" t="s">
        <v>125</v>
      </c>
      <c r="B32" s="43">
        <v>1</v>
      </c>
    </row>
    <row r="33" spans="1:2" x14ac:dyDescent="0.25">
      <c r="A33" s="20" t="s">
        <v>126</v>
      </c>
      <c r="B33" s="50">
        <v>2</v>
      </c>
    </row>
    <row r="34" spans="1:2" x14ac:dyDescent="0.25">
      <c r="A34" s="20" t="s">
        <v>29</v>
      </c>
      <c r="B34" s="15">
        <v>100</v>
      </c>
    </row>
    <row r="35" spans="1:2" x14ac:dyDescent="0.25">
      <c r="A35" s="27" t="s">
        <v>15</v>
      </c>
      <c r="B35" s="22" cm="1">
        <f t="array" ref="B35">_xll.qlBlackVolTermStructureBlackForwardVolFromTime(B8,B32,B33,B34)</f>
        <v>0.25</v>
      </c>
    </row>
    <row r="36" spans="1:2" x14ac:dyDescent="0.25">
      <c r="A36" s="20" t="s">
        <v>123</v>
      </c>
      <c r="B36" s="18">
        <f>$B$1+365</f>
        <v>46539</v>
      </c>
    </row>
    <row r="37" spans="1:2" x14ac:dyDescent="0.25">
      <c r="A37" s="20" t="s">
        <v>124</v>
      </c>
      <c r="B37" s="18">
        <f>$B$1+730</f>
        <v>46904</v>
      </c>
    </row>
    <row r="38" spans="1:2" x14ac:dyDescent="0.25">
      <c r="A38" s="20" t="s">
        <v>29</v>
      </c>
      <c r="B38" s="15">
        <v>100</v>
      </c>
    </row>
    <row r="39" spans="1:2" x14ac:dyDescent="0.25">
      <c r="A39" s="19" t="s">
        <v>16</v>
      </c>
      <c r="B39" s="15" cm="1">
        <f t="array" ref="B39">_xll.qlBlackVolTermStructureBlackForwardVariance(B8,B36,B37,B38)</f>
        <v>6.25E-2</v>
      </c>
    </row>
    <row r="40" spans="1:2" x14ac:dyDescent="0.25">
      <c r="A40" s="23" t="s">
        <v>125</v>
      </c>
      <c r="B40" s="43">
        <v>1</v>
      </c>
    </row>
    <row r="41" spans="1:2" x14ac:dyDescent="0.25">
      <c r="A41" s="20" t="s">
        <v>126</v>
      </c>
      <c r="B41" s="50">
        <v>2</v>
      </c>
    </row>
    <row r="42" spans="1:2" x14ac:dyDescent="0.25">
      <c r="A42" s="20" t="s">
        <v>29</v>
      </c>
      <c r="B42" s="15">
        <v>100</v>
      </c>
    </row>
    <row r="43" spans="1:2" x14ac:dyDescent="0.25">
      <c r="A43" s="27" t="s">
        <v>17</v>
      </c>
      <c r="B43" s="22" cm="1">
        <f t="array" ref="B43">_xll.qlBlackVolTermStructureBlackForwardVarianceFromTime(B8,B40,B41,B42)</f>
        <v>6.25E-2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1830-66DA-4F7B-92BB-975D8F594380}">
  <dimension ref="A1:C1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7" sqref="C17"/>
    </sheetView>
  </sheetViews>
  <sheetFormatPr baseColWidth="10" defaultColWidth="9.140625" defaultRowHeight="15" x14ac:dyDescent="0.25"/>
  <cols>
    <col min="1" max="1" width="24" bestFit="1" customWidth="1"/>
    <col min="2" max="3" width="65.7109375" style="9" bestFit="1" customWidth="1"/>
  </cols>
  <sheetData>
    <row r="1" spans="1:3" x14ac:dyDescent="0.25">
      <c r="A1" t="s">
        <v>0</v>
      </c>
      <c r="B1" s="48">
        <v>46174</v>
      </c>
    </row>
    <row r="2" spans="1:3" x14ac:dyDescent="0.25">
      <c r="C2" s="48"/>
    </row>
    <row r="4" spans="1:3" x14ac:dyDescent="0.25">
      <c r="A4" s="5" t="s">
        <v>18</v>
      </c>
      <c r="B4" s="12">
        <v>46174</v>
      </c>
      <c r="C4" s="7">
        <f>B1</f>
        <v>46174</v>
      </c>
    </row>
    <row r="5" spans="1:3" x14ac:dyDescent="0.25">
      <c r="A5" s="5" t="s">
        <v>57</v>
      </c>
      <c r="B5" s="12">
        <v>46539</v>
      </c>
      <c r="C5" s="7">
        <v>46539</v>
      </c>
    </row>
    <row r="6" spans="1:3" x14ac:dyDescent="0.25">
      <c r="A6" s="41" t="s">
        <v>57</v>
      </c>
      <c r="B6" s="17">
        <v>46904</v>
      </c>
      <c r="C6" s="18">
        <v>46904</v>
      </c>
    </row>
    <row r="7" spans="1:3" x14ac:dyDescent="0.25">
      <c r="A7" s="41" t="s">
        <v>57</v>
      </c>
      <c r="B7" s="17">
        <v>47269</v>
      </c>
      <c r="C7" s="18">
        <v>47269</v>
      </c>
    </row>
    <row r="8" spans="1:3" x14ac:dyDescent="0.25">
      <c r="A8" s="6" t="s">
        <v>57</v>
      </c>
      <c r="B8" s="52">
        <v>47634</v>
      </c>
      <c r="C8" s="8">
        <v>47634</v>
      </c>
    </row>
    <row r="9" spans="1:3" x14ac:dyDescent="0.25">
      <c r="A9" s="41" t="s">
        <v>58</v>
      </c>
      <c r="B9" s="14">
        <v>0.15</v>
      </c>
      <c r="C9" s="15">
        <v>0.15</v>
      </c>
    </row>
    <row r="10" spans="1:3" x14ac:dyDescent="0.25">
      <c r="A10" s="41" t="s">
        <v>58</v>
      </c>
      <c r="B10" s="14">
        <v>0.15</v>
      </c>
      <c r="C10" s="15">
        <v>0.15</v>
      </c>
    </row>
    <row r="11" spans="1:3" x14ac:dyDescent="0.25">
      <c r="A11" s="41" t="s">
        <v>58</v>
      </c>
      <c r="B11" s="14">
        <v>0.15</v>
      </c>
      <c r="C11" s="15">
        <v>0.15</v>
      </c>
    </row>
    <row r="12" spans="1:3" x14ac:dyDescent="0.25">
      <c r="A12" s="41" t="s">
        <v>58</v>
      </c>
      <c r="B12" s="14">
        <v>0.15</v>
      </c>
      <c r="C12" s="15">
        <v>0.15</v>
      </c>
    </row>
    <row r="13" spans="1:3" x14ac:dyDescent="0.25">
      <c r="A13" s="5" t="s">
        <v>22</v>
      </c>
      <c r="B13" s="24" t="s">
        <v>4</v>
      </c>
      <c r="C13" s="25" t="s">
        <v>4</v>
      </c>
    </row>
    <row r="14" spans="1:3" x14ac:dyDescent="0.25">
      <c r="A14" s="41" t="s">
        <v>59</v>
      </c>
      <c r="B14" s="14"/>
      <c r="C14" s="15" t="b">
        <v>1</v>
      </c>
    </row>
    <row r="15" spans="1:3" x14ac:dyDescent="0.25">
      <c r="A15" s="41" t="s">
        <v>60</v>
      </c>
      <c r="B15" s="14"/>
      <c r="C15" s="15" t="s">
        <v>61</v>
      </c>
    </row>
    <row r="16" spans="1:3" x14ac:dyDescent="0.25">
      <c r="A16" s="27" t="s">
        <v>62</v>
      </c>
      <c r="B16" s="21" t="str" cm="1">
        <f t="array" ref="B16">_xll.qlBlackVarianceCurve(B4,B5:B8,B9:B12,B13)</f>
        <v>欣[test_volatilities.xlsx]BlackVarianceCurve!R16C2BlackVarianceCurve,A</v>
      </c>
      <c r="C16" s="22" t="str" cm="1">
        <f t="array" ref="C16">_xll.qlBlackVarianceCurve(C4,C5:C8,C9:C12,C13,C14,C15)</f>
        <v>欣[test_volatilities.xlsx]BlackVarianceCurve!R16C3BlackVarianceCurve,A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34E1-BB58-4274-97F9-2A66D842EB70}">
  <dimension ref="A1:C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2" sqref="C12"/>
    </sheetView>
  </sheetViews>
  <sheetFormatPr baseColWidth="10" defaultColWidth="9.140625" defaultRowHeight="15" x14ac:dyDescent="0.25"/>
  <cols>
    <col min="1" max="1" width="49" bestFit="1" customWidth="1"/>
    <col min="2" max="3" width="84.85546875" style="9" bestFit="1" customWidth="1"/>
  </cols>
  <sheetData>
    <row r="1" spans="1:3" x14ac:dyDescent="0.25">
      <c r="A1" t="s">
        <v>18</v>
      </c>
      <c r="B1" s="48">
        <v>46174</v>
      </c>
      <c r="C1" s="48"/>
    </row>
    <row r="2" spans="1:3" x14ac:dyDescent="0.25">
      <c r="B2" s="48"/>
      <c r="C2" s="48"/>
    </row>
    <row r="3" spans="1:3" x14ac:dyDescent="0.25">
      <c r="B3" s="48"/>
      <c r="C3" s="48"/>
    </row>
    <row r="4" spans="1:3" x14ac:dyDescent="0.25">
      <c r="A4" s="5" t="s">
        <v>18</v>
      </c>
      <c r="B4" s="12">
        <f>B1</f>
        <v>46174</v>
      </c>
      <c r="C4" s="7">
        <f>B1</f>
        <v>46174</v>
      </c>
    </row>
    <row r="5" spans="1:3" x14ac:dyDescent="0.25">
      <c r="A5" s="41" t="s">
        <v>19</v>
      </c>
      <c r="B5" s="14" t="s">
        <v>2</v>
      </c>
      <c r="C5" s="15" t="s">
        <v>2</v>
      </c>
    </row>
    <row r="6" spans="1:3" x14ac:dyDescent="0.25">
      <c r="A6" s="41" t="s">
        <v>20</v>
      </c>
      <c r="B6" s="14" t="s">
        <v>25</v>
      </c>
      <c r="C6" s="15" t="s">
        <v>25</v>
      </c>
    </row>
    <row r="7" spans="1:3" x14ac:dyDescent="0.25">
      <c r="A7" s="41" t="s">
        <v>21</v>
      </c>
      <c r="B7" s="53">
        <v>0.25</v>
      </c>
      <c r="C7" s="54">
        <v>8.0000000000000002E-3</v>
      </c>
    </row>
    <row r="8" spans="1:3" x14ac:dyDescent="0.25">
      <c r="A8" s="41" t="s">
        <v>22</v>
      </c>
      <c r="B8" s="14" t="s">
        <v>4</v>
      </c>
      <c r="C8" s="15" t="s">
        <v>4</v>
      </c>
    </row>
    <row r="9" spans="1:3" x14ac:dyDescent="0.25">
      <c r="A9" s="41" t="s">
        <v>23</v>
      </c>
      <c r="B9" s="14"/>
      <c r="C9" s="15" t="s">
        <v>27</v>
      </c>
    </row>
    <row r="10" spans="1:3" x14ac:dyDescent="0.25">
      <c r="A10" s="41" t="s">
        <v>24</v>
      </c>
      <c r="B10" s="14"/>
      <c r="C10" s="15">
        <v>0</v>
      </c>
    </row>
    <row r="11" spans="1:3" x14ac:dyDescent="0.25">
      <c r="A11" s="27" t="s">
        <v>26</v>
      </c>
      <c r="B11" s="21" t="str" cm="1">
        <f t="array" ref="B11">_xll.qlConstantOptionletVolatility(B4,B5,B6,B7,B8)</f>
        <v>欣[test_volatilities.xlsx]ConstantOptionletVolatility!R11C2OptionletVolatilityStructureHandle,A</v>
      </c>
      <c r="C11" s="22" t="str" cm="1">
        <f t="array" ref="C11">_xll.qlConstantOptionletVolatility(C4,C5,C6,C7,C8,C9,C10)</f>
        <v>欣[test_volatilities.xlsx]ConstantOptionletVolatility!R11C3OptionletVolatilityStructureHandle,A</v>
      </c>
    </row>
    <row r="12" spans="1:3" x14ac:dyDescent="0.25">
      <c r="A12" s="41" t="s">
        <v>28</v>
      </c>
      <c r="B12" s="17">
        <f>$B$1+365</f>
        <v>46539</v>
      </c>
      <c r="C12" s="18">
        <f>$B$1+365</f>
        <v>46539</v>
      </c>
    </row>
    <row r="13" spans="1:3" x14ac:dyDescent="0.25">
      <c r="A13" s="41" t="s">
        <v>29</v>
      </c>
      <c r="B13" s="14">
        <v>0.03</v>
      </c>
      <c r="C13" s="15">
        <v>0.03</v>
      </c>
    </row>
    <row r="14" spans="1:3" x14ac:dyDescent="0.25">
      <c r="A14" s="41" t="s">
        <v>30</v>
      </c>
      <c r="B14" s="14"/>
      <c r="C14" s="15" t="b">
        <v>1</v>
      </c>
    </row>
    <row r="15" spans="1:3" x14ac:dyDescent="0.25">
      <c r="A15" s="27" t="s">
        <v>31</v>
      </c>
      <c r="B15" s="55" cm="1">
        <f t="array" ref="B15">_xll.qlOptionletVolatilityStructureVolatility(B11,B12,B13)</f>
        <v>0.25</v>
      </c>
      <c r="C15" s="56" cm="1">
        <f t="array" ref="C15">_xll.qlOptionletVolatilityStructureVolatility(C11,C12,C13,C14)</f>
        <v>8.0000000000000002E-3</v>
      </c>
    </row>
    <row r="16" spans="1:3" x14ac:dyDescent="0.25">
      <c r="A16" s="23" t="s">
        <v>84</v>
      </c>
      <c r="B16" s="57">
        <v>1</v>
      </c>
      <c r="C16" s="58">
        <v>1</v>
      </c>
    </row>
    <row r="17" spans="1:3" x14ac:dyDescent="0.25">
      <c r="A17" s="20" t="s">
        <v>29</v>
      </c>
      <c r="B17" s="14">
        <v>0.03</v>
      </c>
      <c r="C17" s="15">
        <v>0.03</v>
      </c>
    </row>
    <row r="18" spans="1:3" x14ac:dyDescent="0.25">
      <c r="A18" s="20" t="s">
        <v>30</v>
      </c>
      <c r="B18" s="14"/>
      <c r="C18" s="54" t="b">
        <v>1</v>
      </c>
    </row>
    <row r="19" spans="1:3" x14ac:dyDescent="0.25">
      <c r="A19" s="27" t="s">
        <v>32</v>
      </c>
      <c r="B19" s="55" cm="1">
        <f t="array" ref="B19">_xll.qlOptionletVolatilityStructureVolatilityFromTime(B11,B16,B17)</f>
        <v>0.25</v>
      </c>
      <c r="C19" s="56" cm="1">
        <f t="array" ref="C19">_xll.qlOptionletVolatilityStructureVolatilityFromTime(C11,C16,C17,C18)</f>
        <v>8.0000000000000002E-3</v>
      </c>
    </row>
    <row r="20" spans="1:3" x14ac:dyDescent="0.25">
      <c r="A20" s="5" t="s">
        <v>28</v>
      </c>
      <c r="B20" s="12">
        <f>$B$1+365</f>
        <v>46539</v>
      </c>
      <c r="C20" s="7">
        <f>$B$1+365</f>
        <v>46539</v>
      </c>
    </row>
    <row r="21" spans="1:3" x14ac:dyDescent="0.25">
      <c r="A21" s="41" t="s">
        <v>29</v>
      </c>
      <c r="B21" s="14">
        <v>0.03</v>
      </c>
      <c r="C21" s="15">
        <v>0.03</v>
      </c>
    </row>
    <row r="22" spans="1:3" x14ac:dyDescent="0.25">
      <c r="A22" s="41" t="s">
        <v>30</v>
      </c>
      <c r="B22" s="14"/>
      <c r="C22" s="15" t="b">
        <v>1</v>
      </c>
    </row>
    <row r="23" spans="1:3" x14ac:dyDescent="0.25">
      <c r="A23" s="27" t="s">
        <v>33</v>
      </c>
      <c r="B23" s="59" cm="1">
        <f t="array" ref="B23">_xll.qlOptionletVolatilityStructureBlackVariance(B11,B20,B21)</f>
        <v>6.25E-2</v>
      </c>
      <c r="C23" s="60" cm="1">
        <f t="array" ref="C23">_xll.qlOptionletVolatilityStructureBlackVariance(C11,C20,C21,C22)</f>
        <v>6.3999999999999997E-5</v>
      </c>
    </row>
    <row r="24" spans="1:3" x14ac:dyDescent="0.25">
      <c r="A24" s="23" t="s">
        <v>84</v>
      </c>
      <c r="B24" s="57">
        <v>1</v>
      </c>
      <c r="C24" s="58">
        <v>1</v>
      </c>
    </row>
    <row r="25" spans="1:3" x14ac:dyDescent="0.25">
      <c r="A25" s="20" t="s">
        <v>29</v>
      </c>
      <c r="B25" s="14">
        <v>0.03</v>
      </c>
      <c r="C25" s="15">
        <v>0.03</v>
      </c>
    </row>
    <row r="26" spans="1:3" x14ac:dyDescent="0.25">
      <c r="A26" s="20" t="s">
        <v>30</v>
      </c>
      <c r="B26" s="14"/>
      <c r="C26" s="54" t="b">
        <v>1</v>
      </c>
    </row>
    <row r="27" spans="1:3" x14ac:dyDescent="0.25">
      <c r="A27" s="27" t="s">
        <v>34</v>
      </c>
      <c r="B27" s="59" cm="1">
        <f t="array" ref="B27">_xll.qlOptionletVolatilityStructureBlackVarianceFromTime(B11,B24,B25)</f>
        <v>6.25E-2</v>
      </c>
      <c r="C27" s="60" cm="1">
        <f t="array" ref="C27">_xll.qlOptionletVolatilityStructureBlackVarianceFromTime(C11,C24,C25,C26)</f>
        <v>6.3999999999999997E-5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DD04-F97D-41C9-B20D-15577F3B15F2}">
  <dimension ref="A1:C6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 x14ac:dyDescent="0.25"/>
  <cols>
    <col min="1" max="1" width="49.85546875" bestFit="1" customWidth="1"/>
    <col min="2" max="3" width="84.85546875" style="9" bestFit="1" customWidth="1"/>
  </cols>
  <sheetData>
    <row r="1" spans="1:3" x14ac:dyDescent="0.25">
      <c r="A1" t="s">
        <v>18</v>
      </c>
      <c r="B1" s="48">
        <v>46174</v>
      </c>
      <c r="C1" s="48"/>
    </row>
    <row r="2" spans="1:3" x14ac:dyDescent="0.25">
      <c r="B2" s="48"/>
      <c r="C2" s="48"/>
    </row>
    <row r="3" spans="1:3" x14ac:dyDescent="0.25">
      <c r="B3" s="48"/>
      <c r="C3" s="48"/>
    </row>
    <row r="4" spans="1:3" x14ac:dyDescent="0.25">
      <c r="A4" s="5" t="s">
        <v>18</v>
      </c>
      <c r="B4" s="12">
        <f>B1</f>
        <v>46174</v>
      </c>
      <c r="C4" s="7">
        <f>B1</f>
        <v>46174</v>
      </c>
    </row>
    <row r="5" spans="1:3" x14ac:dyDescent="0.25">
      <c r="A5" s="41" t="s">
        <v>19</v>
      </c>
      <c r="B5" s="14" t="s">
        <v>2</v>
      </c>
      <c r="C5" s="15" t="s">
        <v>2</v>
      </c>
    </row>
    <row r="6" spans="1:3" x14ac:dyDescent="0.25">
      <c r="A6" s="41" t="s">
        <v>20</v>
      </c>
      <c r="B6" s="14" t="s">
        <v>25</v>
      </c>
      <c r="C6" s="15" t="s">
        <v>25</v>
      </c>
    </row>
    <row r="7" spans="1:3" x14ac:dyDescent="0.25">
      <c r="A7" s="41" t="s">
        <v>21</v>
      </c>
      <c r="B7" s="53">
        <v>0.25</v>
      </c>
      <c r="C7" s="54">
        <v>8.0000000000000002E-3</v>
      </c>
    </row>
    <row r="8" spans="1:3" x14ac:dyDescent="0.25">
      <c r="A8" s="41" t="s">
        <v>22</v>
      </c>
      <c r="B8" s="14" t="s">
        <v>4</v>
      </c>
      <c r="C8" s="15" t="s">
        <v>4</v>
      </c>
    </row>
    <row r="9" spans="1:3" x14ac:dyDescent="0.25">
      <c r="A9" s="41" t="s">
        <v>23</v>
      </c>
      <c r="B9" s="14"/>
      <c r="C9" s="15" t="s">
        <v>27</v>
      </c>
    </row>
    <row r="10" spans="1:3" x14ac:dyDescent="0.25">
      <c r="A10" s="41" t="s">
        <v>24</v>
      </c>
      <c r="B10" s="14"/>
      <c r="C10" s="15">
        <v>0</v>
      </c>
    </row>
    <row r="11" spans="1:3" x14ac:dyDescent="0.25">
      <c r="A11" s="27" t="s">
        <v>35</v>
      </c>
      <c r="B11" s="21" t="str" cm="1">
        <f t="array" ref="B11">_xll.qlConstantSwaptionVolatility(B4,B5,B6,B7,B8)</f>
        <v>欣[test_volatilities.xlsx]ConstantSwaptionVolatility!R11C2SwaptionVolatilityStructureHandle,A</v>
      </c>
      <c r="C11" s="22" t="str" cm="1">
        <f t="array" ref="C11">_xll.qlConstantSwaptionVolatility(C4,C5,C6,C7,C8,C9,C10)</f>
        <v>欣[test_volatilities.xlsx]ConstantSwaptionVolatility!R11C3SwaptionVolatilityStructureHandle,A</v>
      </c>
    </row>
    <row r="12" spans="1:3" x14ac:dyDescent="0.25">
      <c r="A12" s="5" t="s">
        <v>127</v>
      </c>
      <c r="B12" s="12">
        <v>46539</v>
      </c>
      <c r="C12" s="7">
        <v>46539</v>
      </c>
    </row>
    <row r="13" spans="1:3" x14ac:dyDescent="0.25">
      <c r="A13" s="41" t="s">
        <v>36</v>
      </c>
      <c r="B13" s="14" t="s">
        <v>52</v>
      </c>
      <c r="C13" s="15" t="s">
        <v>52</v>
      </c>
    </row>
    <row r="14" spans="1:3" x14ac:dyDescent="0.25">
      <c r="A14" s="41" t="s">
        <v>29</v>
      </c>
      <c r="B14" s="14">
        <v>0.03</v>
      </c>
      <c r="C14" s="15">
        <v>0.03</v>
      </c>
    </row>
    <row r="15" spans="1:3" x14ac:dyDescent="0.25">
      <c r="A15" s="20" t="s">
        <v>30</v>
      </c>
      <c r="B15" s="62"/>
      <c r="C15" s="65" t="b">
        <v>0</v>
      </c>
    </row>
    <row r="16" spans="1:3" x14ac:dyDescent="0.25">
      <c r="A16" s="27" t="s">
        <v>39</v>
      </c>
      <c r="B16" s="55" cm="1">
        <f t="array" ref="B16">_xll.qlSwaptionVolatilityStructureVolatility(B11,B12,B13,B14)</f>
        <v>0.25</v>
      </c>
      <c r="C16" s="61" cm="1">
        <f t="array" ref="C16">_xll.qlSwaptionVolatilityStructureVolatility(C11,C12,C13,C14,C15)</f>
        <v>8.0000000000000002E-3</v>
      </c>
    </row>
    <row r="17" spans="1:3" x14ac:dyDescent="0.25">
      <c r="A17" s="23" t="s">
        <v>128</v>
      </c>
      <c r="B17" s="63">
        <v>1</v>
      </c>
      <c r="C17" s="64">
        <v>1</v>
      </c>
    </row>
    <row r="18" spans="1:3" x14ac:dyDescent="0.25">
      <c r="A18" s="20" t="s">
        <v>37</v>
      </c>
      <c r="B18" s="62">
        <v>2</v>
      </c>
      <c r="C18" s="65">
        <v>2</v>
      </c>
    </row>
    <row r="19" spans="1:3" x14ac:dyDescent="0.25">
      <c r="A19" s="20" t="s">
        <v>29</v>
      </c>
      <c r="B19" s="62">
        <v>0.03</v>
      </c>
      <c r="C19" s="65">
        <v>0.03</v>
      </c>
    </row>
    <row r="20" spans="1:3" x14ac:dyDescent="0.25">
      <c r="A20" s="20" t="s">
        <v>30</v>
      </c>
      <c r="B20" s="62"/>
      <c r="C20" s="65" t="b">
        <v>0</v>
      </c>
    </row>
    <row r="21" spans="1:3" x14ac:dyDescent="0.25">
      <c r="A21" s="27" t="s">
        <v>40</v>
      </c>
      <c r="B21" s="55" cm="1">
        <f t="array" ref="B21">_xll.qlSwaptionVolatilityStructureVolatilityFromTime(B11,B17,B18,B19)</f>
        <v>0.25</v>
      </c>
      <c r="C21" s="61" cm="1">
        <f t="array" ref="C21">_xll.qlSwaptionVolatilityStructureVolatilityFromTime(C11,C17,C18,C19,C20)</f>
        <v>8.0000000000000002E-3</v>
      </c>
    </row>
    <row r="22" spans="1:3" x14ac:dyDescent="0.25">
      <c r="A22" s="5" t="s">
        <v>127</v>
      </c>
      <c r="B22" s="12">
        <v>46539</v>
      </c>
      <c r="C22" s="7">
        <v>46539</v>
      </c>
    </row>
    <row r="23" spans="1:3" x14ac:dyDescent="0.25">
      <c r="A23" s="41" t="s">
        <v>36</v>
      </c>
      <c r="B23" s="14" t="s">
        <v>52</v>
      </c>
      <c r="C23" s="15" t="s">
        <v>52</v>
      </c>
    </row>
    <row r="24" spans="1:3" x14ac:dyDescent="0.25">
      <c r="A24" s="41" t="s">
        <v>29</v>
      </c>
      <c r="B24" s="14">
        <v>0.03</v>
      </c>
      <c r="C24" s="15">
        <v>0.03</v>
      </c>
    </row>
    <row r="25" spans="1:3" x14ac:dyDescent="0.25">
      <c r="A25" s="20" t="s">
        <v>30</v>
      </c>
      <c r="B25" s="62"/>
      <c r="C25" s="65" t="b">
        <v>0</v>
      </c>
    </row>
    <row r="26" spans="1:3" x14ac:dyDescent="0.25">
      <c r="A26" s="27" t="s">
        <v>41</v>
      </c>
      <c r="B26" s="59" cm="1">
        <f t="array" ref="B26">_xll.qlSwaptionVolatilityStructureBlackVariance(B11,B22,B23,B24)</f>
        <v>6.25E-2</v>
      </c>
      <c r="C26" s="60" cm="1">
        <f t="array" ref="C26">_xll.qlSwaptionVolatilityStructureBlackVariance(C11,C22,C23,C24,C25)</f>
        <v>6.3999999999999997E-5</v>
      </c>
    </row>
    <row r="27" spans="1:3" x14ac:dyDescent="0.25">
      <c r="A27" s="23" t="s">
        <v>128</v>
      </c>
      <c r="B27" s="63">
        <v>1</v>
      </c>
      <c r="C27" s="64">
        <v>1</v>
      </c>
    </row>
    <row r="28" spans="1:3" x14ac:dyDescent="0.25">
      <c r="A28" s="20" t="s">
        <v>37</v>
      </c>
      <c r="B28" s="62">
        <v>2</v>
      </c>
      <c r="C28" s="65">
        <v>2</v>
      </c>
    </row>
    <row r="29" spans="1:3" x14ac:dyDescent="0.25">
      <c r="A29" s="20" t="s">
        <v>29</v>
      </c>
      <c r="B29" s="62">
        <v>0.03</v>
      </c>
      <c r="C29" s="65">
        <v>0.03</v>
      </c>
    </row>
    <row r="30" spans="1:3" x14ac:dyDescent="0.25">
      <c r="A30" s="20" t="s">
        <v>30</v>
      </c>
      <c r="B30" s="62"/>
      <c r="C30" s="65" t="b">
        <v>0</v>
      </c>
    </row>
    <row r="31" spans="1:3" x14ac:dyDescent="0.25">
      <c r="A31" s="27" t="s">
        <v>42</v>
      </c>
      <c r="B31" s="59" cm="1">
        <f t="array" ref="B31">_xll.qlSwaptionVolatilityStructureBlackVarianceFromTime(B11,B27,B28,B29)</f>
        <v>6.25E-2</v>
      </c>
      <c r="C31" s="60" cm="1">
        <f t="array" ref="C31">_xll.qlSwaptionVolatilityStructureBlackVarianceFromTime(C11,C27,C28,C29,C30)</f>
        <v>6.3999999999999997E-5</v>
      </c>
    </row>
    <row r="32" spans="1:3" x14ac:dyDescent="0.25">
      <c r="A32" s="5" t="s">
        <v>127</v>
      </c>
      <c r="B32" s="12">
        <v>46539</v>
      </c>
      <c r="C32" s="7">
        <v>46539</v>
      </c>
    </row>
    <row r="33" spans="1:3" x14ac:dyDescent="0.25">
      <c r="A33" s="41" t="s">
        <v>36</v>
      </c>
      <c r="B33" s="14" t="s">
        <v>52</v>
      </c>
      <c r="C33" s="15" t="s">
        <v>52</v>
      </c>
    </row>
    <row r="34" spans="1:3" x14ac:dyDescent="0.25">
      <c r="A34" s="66" t="s">
        <v>30</v>
      </c>
      <c r="B34" s="14"/>
      <c r="C34" s="15" t="b">
        <v>0</v>
      </c>
    </row>
    <row r="35" spans="1:3" x14ac:dyDescent="0.25">
      <c r="A35" s="27" t="s">
        <v>43</v>
      </c>
      <c r="B35" s="59" cm="1">
        <f t="array" ref="B35">_xll.qlSwaptionVolatilityStructureShift(B11,B32,B33)</f>
        <v>0</v>
      </c>
      <c r="C35" s="67" cm="1">
        <f t="array" ref="C35">FIND("RuntimeError: RuntimeError: shift parameter only makes sense for lognormal volatilities",_xll.qlSwaptionVolatilityStructureShift(C11,C32,C33,C34))</f>
        <v>1</v>
      </c>
    </row>
    <row r="36" spans="1:3" x14ac:dyDescent="0.25">
      <c r="A36" s="5" t="s">
        <v>127</v>
      </c>
      <c r="B36" s="12">
        <v>46539</v>
      </c>
      <c r="C36" s="7">
        <v>46539</v>
      </c>
    </row>
    <row r="37" spans="1:3" x14ac:dyDescent="0.25">
      <c r="A37" s="41" t="s">
        <v>37</v>
      </c>
      <c r="B37" s="14">
        <v>2</v>
      </c>
      <c r="C37" s="15">
        <v>2</v>
      </c>
    </row>
    <row r="38" spans="1:3" x14ac:dyDescent="0.25">
      <c r="A38" s="66" t="s">
        <v>30</v>
      </c>
      <c r="B38" s="14"/>
      <c r="C38" s="15" t="b">
        <v>0</v>
      </c>
    </row>
    <row r="39" spans="1:3" x14ac:dyDescent="0.25">
      <c r="A39" s="27" t="s">
        <v>131</v>
      </c>
      <c r="B39" s="59" cm="1">
        <f t="array" ref="B39">_xll.qlSwaptionVolatilityStructureShift2(B11,B36,B37)</f>
        <v>0</v>
      </c>
      <c r="C39" s="67" cm="1">
        <f t="array" ref="C39">FIND("RuntimeError: RuntimeError: shift parameter only makes sense for lognormal volatilities",_xll.qlSwaptionVolatilityStructureShift2(C11,C36,C37,C38))</f>
        <v>1</v>
      </c>
    </row>
    <row r="40" spans="1:3" x14ac:dyDescent="0.25">
      <c r="A40" s="23" t="s">
        <v>128</v>
      </c>
      <c r="B40" s="63">
        <v>1</v>
      </c>
      <c r="C40" s="64">
        <v>1</v>
      </c>
    </row>
    <row r="41" spans="1:3" x14ac:dyDescent="0.25">
      <c r="A41" s="20" t="s">
        <v>36</v>
      </c>
      <c r="B41" s="62" t="s">
        <v>52</v>
      </c>
      <c r="C41" s="65" t="s">
        <v>52</v>
      </c>
    </row>
    <row r="42" spans="1:3" x14ac:dyDescent="0.25">
      <c r="A42" s="66" t="s">
        <v>30</v>
      </c>
      <c r="B42" s="14"/>
      <c r="C42" s="15" t="b">
        <v>0</v>
      </c>
    </row>
    <row r="43" spans="1:3" x14ac:dyDescent="0.25">
      <c r="A43" s="27" t="s">
        <v>132</v>
      </c>
      <c r="B43" s="59" cm="1">
        <f t="array" ref="B43">_xll.qlSwaptionVolatilityStructureShiftFromTime(B11,B40,B41)</f>
        <v>0</v>
      </c>
      <c r="C43" s="67" cm="1">
        <f t="array" ref="C43">FIND("RuntimeError: RuntimeError: shift parameter only makes sense for lognormal volatilities", _xll.qlSwaptionVolatilityStructureShiftFromTime(C11,C40,C41,C42))</f>
        <v>1</v>
      </c>
    </row>
    <row r="44" spans="1:3" x14ac:dyDescent="0.25">
      <c r="A44" s="23" t="s">
        <v>128</v>
      </c>
      <c r="B44" s="63">
        <v>1</v>
      </c>
      <c r="C44" s="64">
        <v>1</v>
      </c>
    </row>
    <row r="45" spans="1:3" x14ac:dyDescent="0.25">
      <c r="A45" s="20" t="s">
        <v>37</v>
      </c>
      <c r="B45" s="62">
        <v>2</v>
      </c>
      <c r="C45" s="65">
        <v>2</v>
      </c>
    </row>
    <row r="46" spans="1:3" x14ac:dyDescent="0.25">
      <c r="A46" s="66" t="s">
        <v>30</v>
      </c>
      <c r="B46" s="14"/>
      <c r="C46" s="15" t="b">
        <v>0</v>
      </c>
    </row>
    <row r="47" spans="1:3" x14ac:dyDescent="0.25">
      <c r="A47" s="27" t="s">
        <v>129</v>
      </c>
      <c r="B47" s="59" cm="1">
        <f t="array" ref="B47">_xll.qlSwaptionVolatilityStructureShiftFromTime2(B11,B44,B45)</f>
        <v>0</v>
      </c>
      <c r="C47" s="67" cm="1">
        <f t="array" ref="C47">FIND("RuntimeError: RuntimeError: shift parameter only makes sense for lognormal volatilities", _xll.qlSwaptionVolatilityStructureShiftFromTime2(C11,C44,C45,C46))</f>
        <v>1</v>
      </c>
    </row>
    <row r="48" spans="1:3" x14ac:dyDescent="0.25">
      <c r="A48" s="5" t="s">
        <v>127</v>
      </c>
      <c r="B48" s="12">
        <v>46539</v>
      </c>
      <c r="C48" s="7">
        <v>46539</v>
      </c>
    </row>
    <row r="49" spans="1:3" x14ac:dyDescent="0.25">
      <c r="A49" s="41" t="s">
        <v>36</v>
      </c>
      <c r="B49" s="14" t="s">
        <v>52</v>
      </c>
      <c r="C49" s="15" t="s">
        <v>52</v>
      </c>
    </row>
    <row r="50" spans="1:3" x14ac:dyDescent="0.25">
      <c r="A50" s="66" t="s">
        <v>30</v>
      </c>
      <c r="B50" s="14"/>
      <c r="C50" s="15" t="b">
        <v>0</v>
      </c>
    </row>
    <row r="51" spans="1:3" x14ac:dyDescent="0.25">
      <c r="A51" s="27" t="s">
        <v>44</v>
      </c>
      <c r="B51" s="21" t="str" cm="1">
        <f t="array" ref="B51">_xll.qlSwaptionVolatilityStructureSmileSection(B11,B48,B49)</f>
        <v>欣[test_volatilities.xlsx]ConstantSwaptionVolatility!R51C2SmileSection,A</v>
      </c>
      <c r="C51" s="22" t="str" cm="1">
        <f t="array" ref="C51">_xll.qlSwaptionVolatilityStructureSmileSection(C11,C48,C49,C50)</f>
        <v>欣[test_volatilities.xlsx]ConstantSwaptionVolatility!R51C3SmileSection,A</v>
      </c>
    </row>
    <row r="52" spans="1:3" x14ac:dyDescent="0.25">
      <c r="A52" s="5" t="s">
        <v>127</v>
      </c>
      <c r="B52" s="12">
        <v>46539</v>
      </c>
      <c r="C52" s="7">
        <v>46539</v>
      </c>
    </row>
    <row r="53" spans="1:3" x14ac:dyDescent="0.25">
      <c r="A53" s="20" t="s">
        <v>37</v>
      </c>
      <c r="B53" s="62">
        <v>2</v>
      </c>
      <c r="C53" s="65">
        <v>2</v>
      </c>
    </row>
    <row r="54" spans="1:3" x14ac:dyDescent="0.25">
      <c r="A54" s="66" t="s">
        <v>30</v>
      </c>
      <c r="B54" s="14"/>
      <c r="C54" s="15" t="b">
        <v>0</v>
      </c>
    </row>
    <row r="55" spans="1:3" x14ac:dyDescent="0.25">
      <c r="A55" s="27" t="s">
        <v>133</v>
      </c>
      <c r="B55" s="21" t="str" cm="1">
        <f t="array" ref="B55">_xll.qlSwaptionVolatilityStructureSmileSection2(B11,B52,B53)</f>
        <v>欣[test_volatilities.xlsx]ConstantSwaptionVolatility!R55C2SmileSection,A</v>
      </c>
      <c r="C55" s="22" t="str" cm="1">
        <f t="array" ref="C55">_xll.qlSwaptionVolatilityStructureSmileSection2(C11,C52,C53,C54)</f>
        <v>欣[test_volatilities.xlsx]ConstantSwaptionVolatility!R55C3SmileSection,A</v>
      </c>
    </row>
    <row r="56" spans="1:3" x14ac:dyDescent="0.25">
      <c r="A56" s="23" t="s">
        <v>128</v>
      </c>
      <c r="B56" s="63">
        <v>1</v>
      </c>
      <c r="C56" s="64">
        <v>1</v>
      </c>
    </row>
    <row r="57" spans="1:3" x14ac:dyDescent="0.25">
      <c r="A57" s="41" t="s">
        <v>36</v>
      </c>
      <c r="B57" s="14" t="s">
        <v>52</v>
      </c>
      <c r="C57" s="15" t="s">
        <v>52</v>
      </c>
    </row>
    <row r="58" spans="1:3" x14ac:dyDescent="0.25">
      <c r="A58" s="66" t="s">
        <v>30</v>
      </c>
      <c r="B58" s="14"/>
      <c r="C58" s="15" t="b">
        <v>0</v>
      </c>
    </row>
    <row r="59" spans="1:3" x14ac:dyDescent="0.25">
      <c r="A59" s="27" t="s">
        <v>134</v>
      </c>
      <c r="B59" s="21" t="str" cm="1">
        <f t="array" ref="B59">_xll.qlSwaptionVolatilityStructureSmileSectionFromTime(B11,B56,B57)</f>
        <v>欣[test_volatilities.xlsx]ConstantSwaptionVolatility!R59C2SmileSection,A</v>
      </c>
      <c r="C59" s="22" t="str" cm="1">
        <f t="array" ref="C59">_xll.qlSwaptionVolatilityStructureSmileSectionFromTime(C11,C56,C57,C58)</f>
        <v>欣[test_volatilities.xlsx]ConstantSwaptionVolatility!R59C3SmileSection,A</v>
      </c>
    </row>
    <row r="60" spans="1:3" x14ac:dyDescent="0.25">
      <c r="A60" s="23" t="s">
        <v>128</v>
      </c>
      <c r="B60" s="63">
        <v>1</v>
      </c>
      <c r="C60" s="64">
        <v>1</v>
      </c>
    </row>
    <row r="61" spans="1:3" x14ac:dyDescent="0.25">
      <c r="A61" s="20" t="s">
        <v>37</v>
      </c>
      <c r="B61" s="62">
        <v>2</v>
      </c>
      <c r="C61" s="65">
        <v>2</v>
      </c>
    </row>
    <row r="62" spans="1:3" x14ac:dyDescent="0.25">
      <c r="A62" s="66" t="s">
        <v>30</v>
      </c>
      <c r="B62" s="14"/>
      <c r="C62" s="15" t="b">
        <v>0</v>
      </c>
    </row>
    <row r="63" spans="1:3" x14ac:dyDescent="0.25">
      <c r="A63" s="27" t="s">
        <v>130</v>
      </c>
      <c r="B63" s="21" t="str" cm="1">
        <f t="array" ref="B63">_xll.qlSwaptionVolatilityStructureSmileSectionFromTime2(B11,B60,B61)</f>
        <v>欣[test_volatilities.xlsx]ConstantSwaptionVolatility!R63C2SmileSection,A</v>
      </c>
      <c r="C63" s="22" t="str" cm="1">
        <f t="array" ref="C63">_xll.qlSwaptionVolatilityStructureSmileSectionFromTime2(C11,C60,C61,C62)</f>
        <v>欣[test_volatilities.xlsx]ConstantSwaptionVolatility!R63C3SmileSection,A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ED96-400B-4A31-9620-487FCF434FF2}">
  <dimension ref="A1:I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9" sqref="B9"/>
    </sheetView>
  </sheetViews>
  <sheetFormatPr baseColWidth="10" defaultColWidth="9.140625" defaultRowHeight="15" x14ac:dyDescent="0.25"/>
  <cols>
    <col min="1" max="1" width="34" bestFit="1" customWidth="1"/>
    <col min="2" max="2" width="36.7109375" customWidth="1"/>
    <col min="5" max="5" width="12.7109375" customWidth="1"/>
  </cols>
  <sheetData>
    <row r="1" spans="1:9" x14ac:dyDescent="0.25">
      <c r="A1" t="s">
        <v>18</v>
      </c>
      <c r="B1" s="3">
        <v>46174</v>
      </c>
      <c r="F1" t="s">
        <v>51</v>
      </c>
    </row>
    <row r="2" spans="1:9" x14ac:dyDescent="0.25">
      <c r="B2" s="3"/>
    </row>
    <row r="3" spans="1:9" x14ac:dyDescent="0.25">
      <c r="B3" s="3"/>
    </row>
    <row r="4" spans="1:9" x14ac:dyDescent="0.25">
      <c r="A4" t="s">
        <v>22</v>
      </c>
      <c r="B4" s="2" t="s">
        <v>54</v>
      </c>
      <c r="D4" t="s">
        <v>45</v>
      </c>
      <c r="E4" t="s">
        <v>46</v>
      </c>
      <c r="F4" t="s">
        <v>47</v>
      </c>
      <c r="G4" t="s">
        <v>52</v>
      </c>
      <c r="H4" t="s">
        <v>50</v>
      </c>
      <c r="I4" t="s">
        <v>53</v>
      </c>
    </row>
    <row r="5" spans="1:9" x14ac:dyDescent="0.25">
      <c r="A5" t="s">
        <v>56</v>
      </c>
      <c r="B5" s="2" t="s">
        <v>27</v>
      </c>
      <c r="D5" t="s">
        <v>47</v>
      </c>
      <c r="E5" s="1" cm="1">
        <f t="array" ref="E5">_xll.qlCalendarAdvance("Target",$B$1,D5,"Following")</f>
        <v>46539</v>
      </c>
      <c r="F5" s="4">
        <v>8.0000000000000002E-3</v>
      </c>
      <c r="G5" s="4">
        <v>8.0000000000000002E-3</v>
      </c>
      <c r="H5" s="4">
        <v>8.0000000000000002E-3</v>
      </c>
      <c r="I5" s="4">
        <v>8.0000000000000002E-3</v>
      </c>
    </row>
    <row r="6" spans="1:9" x14ac:dyDescent="0.25">
      <c r="D6" t="s">
        <v>52</v>
      </c>
      <c r="E6" s="1" cm="1">
        <f t="array" ref="E6">_xll.qlCalendarAdvance("Target",$B$1,D6,"Following")</f>
        <v>46905</v>
      </c>
      <c r="F6" s="4">
        <v>8.0000000000000002E-3</v>
      </c>
      <c r="G6" s="4">
        <v>8.0000000000000002E-3</v>
      </c>
      <c r="H6" s="4">
        <v>8.0000000000000002E-3</v>
      </c>
      <c r="I6" s="4">
        <v>8.0000000000000002E-3</v>
      </c>
    </row>
    <row r="7" spans="1:9" x14ac:dyDescent="0.25">
      <c r="A7" t="s">
        <v>55</v>
      </c>
      <c r="B7" s="2" t="str" cm="1">
        <f t="array" ref="B7">_xll.qlSwaptionVolatilityMatrix(B1,E5:E9,F4:I4,F5:I9,B4,,"Normal")</f>
        <v>欣[test_volatilities.xlsx]SwaptionVolatilityMatrix!R7C2SwaptionVolatilityStructureHandle,A</v>
      </c>
      <c r="D7" t="s">
        <v>48</v>
      </c>
      <c r="E7" s="1" cm="1">
        <f t="array" ref="E7">_xll.qlCalendarAdvance("Target",$B$1,D7,"Following")</f>
        <v>47270</v>
      </c>
      <c r="F7" s="4">
        <v>8.0000000000000002E-3</v>
      </c>
      <c r="G7" s="4">
        <v>8.0000000000000002E-3</v>
      </c>
      <c r="H7" s="4">
        <v>8.0000000000000002E-3</v>
      </c>
      <c r="I7" s="4">
        <v>8.0000000000000002E-3</v>
      </c>
    </row>
    <row r="8" spans="1:9" x14ac:dyDescent="0.25">
      <c r="D8" t="s">
        <v>49</v>
      </c>
      <c r="E8" s="1" cm="1">
        <f t="array" ref="E8">_xll.qlCalendarAdvance("Target",$B$1,D8,"Following")</f>
        <v>47637</v>
      </c>
      <c r="F8" s="4">
        <v>8.0000000000000002E-3</v>
      </c>
      <c r="G8" s="4">
        <v>8.0000000000000002E-3</v>
      </c>
      <c r="H8" s="4">
        <v>8.0000000000000002E-3</v>
      </c>
      <c r="I8" s="4">
        <v>8.0000000000000002E-3</v>
      </c>
    </row>
    <row r="9" spans="1:9" x14ac:dyDescent="0.25">
      <c r="A9" t="s">
        <v>39</v>
      </c>
      <c r="B9" s="4" cm="1">
        <f t="array" ref="B9">_xll.qlSwaptionVolatilityStructureVolatility(B7,E6+180,"3y",0)</f>
        <v>8.0000000000000002E-3</v>
      </c>
      <c r="D9" t="s">
        <v>50</v>
      </c>
      <c r="E9" s="1" cm="1">
        <f t="array" ref="E9">_xll.qlCalendarAdvance("Target",$B$1,D9,"Following")</f>
        <v>48001</v>
      </c>
      <c r="F9" s="4">
        <v>8.0000000000000002E-3</v>
      </c>
      <c r="G9" s="4">
        <v>8.0000000000000002E-3</v>
      </c>
      <c r="H9" s="4">
        <v>8.0000000000000002E-3</v>
      </c>
      <c r="I9" s="4">
        <v>8.0000000000000002E-3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FF0A-9DE6-4A46-9BBF-CD04014F2DEF}">
  <dimension ref="A1:C1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3" sqref="B23"/>
    </sheetView>
  </sheetViews>
  <sheetFormatPr baseColWidth="10" defaultRowHeight="15" x14ac:dyDescent="0.25"/>
  <cols>
    <col min="1" max="1" width="44.85546875" customWidth="1"/>
    <col min="2" max="3" width="78.7109375" style="9" bestFit="1" customWidth="1"/>
  </cols>
  <sheetData>
    <row r="1" spans="1:3" x14ac:dyDescent="0.25">
      <c r="A1" s="5" t="s">
        <v>63</v>
      </c>
      <c r="B1" s="7">
        <v>46174</v>
      </c>
    </row>
    <row r="2" spans="1:3" x14ac:dyDescent="0.25">
      <c r="A2" s="6" t="s">
        <v>64</v>
      </c>
      <c r="B2" s="8" cm="1">
        <f t="array" ref="B2">_xll.qlSettingsSetEvaluationDate(B1)</f>
        <v>46174</v>
      </c>
    </row>
    <row r="4" spans="1:3" x14ac:dyDescent="0.25">
      <c r="A4" s="11" t="s">
        <v>18</v>
      </c>
      <c r="B4" s="12">
        <v>46174</v>
      </c>
      <c r="C4" s="7">
        <v>46174</v>
      </c>
    </row>
    <row r="5" spans="1:3" x14ac:dyDescent="0.25">
      <c r="A5" s="13" t="s">
        <v>19</v>
      </c>
      <c r="B5" s="14" t="s">
        <v>80</v>
      </c>
      <c r="C5" s="15" t="s">
        <v>80</v>
      </c>
    </row>
    <row r="6" spans="1:3" x14ac:dyDescent="0.25">
      <c r="A6" s="13" t="s">
        <v>21</v>
      </c>
      <c r="B6" s="14">
        <v>0.2</v>
      </c>
      <c r="C6" s="15">
        <v>0.2</v>
      </c>
    </row>
    <row r="7" spans="1:3" x14ac:dyDescent="0.25">
      <c r="A7" s="13" t="s">
        <v>22</v>
      </c>
      <c r="B7" s="14" t="s">
        <v>81</v>
      </c>
      <c r="C7" s="15" t="s">
        <v>81</v>
      </c>
    </row>
    <row r="8" spans="1:3" x14ac:dyDescent="0.25">
      <c r="A8" s="6" t="s">
        <v>6</v>
      </c>
      <c r="B8" s="21" t="str" cm="1">
        <f t="array" ref="B8">_xll.qlBlackConstantVol(B4,B5,B6,B7)</f>
        <v>欣[test_volatilities.xlsx]SmileSection!R8C2BlackVolTermStructureHandle,A</v>
      </c>
      <c r="C8" s="22" t="str" cm="1">
        <f t="array" ref="C8">_xll.qlBlackConstantVol(C4,C5,C6,C7)</f>
        <v>欣[test_volatilities.xlsx]SmileSection!R8C3BlackVolTermStructureHandle,A</v>
      </c>
    </row>
    <row r="9" spans="1:3" x14ac:dyDescent="0.25">
      <c r="A9" s="16" t="s">
        <v>82</v>
      </c>
      <c r="B9" s="17">
        <v>46539</v>
      </c>
      <c r="C9" s="18">
        <v>46539</v>
      </c>
    </row>
    <row r="10" spans="1:3" x14ac:dyDescent="0.25">
      <c r="A10" s="16" t="s">
        <v>30</v>
      </c>
      <c r="B10" s="14"/>
      <c r="C10" s="15" t="b">
        <v>0</v>
      </c>
    </row>
    <row r="11" spans="1:3" x14ac:dyDescent="0.25">
      <c r="A11" s="19" t="s">
        <v>65</v>
      </c>
      <c r="B11" s="14" t="str" cm="1">
        <f t="array" ref="B11">_xll.qlBlackVolTermStructureSmileSection(B8,B9)</f>
        <v>欣[test_volatilities.xlsx]SmileSection!R11C2SmileSection,A</v>
      </c>
      <c r="C11" s="15" t="str" cm="1">
        <f t="array" ref="C11">_xll.qlBlackVolTermStructureSmileSection(C8,C9,C10)</f>
        <v>欣[test_volatilities.xlsx]SmileSection!R11C3SmileSection,A</v>
      </c>
    </row>
    <row r="12" spans="1:3" x14ac:dyDescent="0.25">
      <c r="A12" s="26" t="s">
        <v>82</v>
      </c>
      <c r="B12" s="24">
        <v>1</v>
      </c>
      <c r="C12" s="25">
        <v>1</v>
      </c>
    </row>
    <row r="13" spans="1:3" x14ac:dyDescent="0.25">
      <c r="A13" s="16" t="s">
        <v>30</v>
      </c>
      <c r="B13" s="14"/>
      <c r="C13" s="15" t="b">
        <v>0</v>
      </c>
    </row>
    <row r="14" spans="1:3" x14ac:dyDescent="0.25">
      <c r="A14" s="27" t="s">
        <v>66</v>
      </c>
      <c r="B14" s="21" t="str" cm="1">
        <f t="array" ref="B14">_xll.qlBlackVolTermStructureSmileSectionFromTime(B8,B12)</f>
        <v>欣[test_volatilities.xlsx]SmileSection!R14C2SmileSection,A</v>
      </c>
      <c r="C14" s="22" t="str" cm="1">
        <f t="array" ref="C14">_xll.qlBlackVolTermStructureSmileSectionFromTime(C8,C12,C13)</f>
        <v>欣[test_volatilities.xlsx]SmileSection!R14C3SmileSection,A</v>
      </c>
    </row>
    <row r="15" spans="1:3" x14ac:dyDescent="0.25">
      <c r="A15" s="23" t="s">
        <v>83</v>
      </c>
      <c r="B15" s="24">
        <v>1</v>
      </c>
      <c r="C15" s="25">
        <v>1</v>
      </c>
    </row>
    <row r="16" spans="1:3" x14ac:dyDescent="0.25">
      <c r="A16" s="36" t="s">
        <v>67</v>
      </c>
      <c r="B16" s="21" t="str" cm="1">
        <f t="array" ref="B16">IF(_xll.qlBlackVolTermStructureAtmLevel(B8,B15)="Expected python float, got 'None'","None",_xll.qlBlackVolTermStructureAtmLevel(B8,B15))</f>
        <v>None</v>
      </c>
      <c r="C16" s="22" t="str" cm="1">
        <f t="array" ref="C16">IF(_xll.qlBlackVolTermStructureAtmLevel(C8,C15)="Expected python float, got 'None'","None",_xll.qlBlackVolTermStructureAtmLevel(C8,C15))</f>
        <v>None</v>
      </c>
    </row>
    <row r="17" spans="1:3" x14ac:dyDescent="0.25">
      <c r="A17" s="19" t="s">
        <v>69</v>
      </c>
      <c r="B17" s="14" cm="1">
        <f t="array" ref="B17">_xll.qlSmileSectionMinStrike(B11)</f>
        <v>-1.7976931348623157E+308</v>
      </c>
      <c r="C17" s="15" cm="1">
        <f t="array" ref="C17">_xll.qlSmileSectionMinStrike(C11)</f>
        <v>-1.7976931348623157E+308</v>
      </c>
    </row>
    <row r="18" spans="1:3" x14ac:dyDescent="0.25">
      <c r="A18" s="29" t="s">
        <v>70</v>
      </c>
      <c r="B18" s="30" cm="1">
        <f t="array" ref="B18">_xll.qlSmileSectionMaxStrike(B11)</f>
        <v>1.7976931348623157E+308</v>
      </c>
      <c r="C18" s="31" cm="1">
        <f t="array" ref="C18">_xll.qlSmileSectionMaxStrike(C11)</f>
        <v>1.7976931348623157E+308</v>
      </c>
    </row>
    <row r="19" spans="1:3" x14ac:dyDescent="0.25">
      <c r="A19" s="19" t="s">
        <v>71</v>
      </c>
      <c r="B19" s="14" cm="1">
        <f t="array" ref="B19">_xll.qlSmileSectionAtmLevel(B11)</f>
        <v>3.4028234663852886E+38</v>
      </c>
      <c r="C19" s="15" cm="1">
        <f t="array" ref="C19">_xll.qlSmileSectionAtmLevel(C11)</f>
        <v>3.4028234663852886E+38</v>
      </c>
    </row>
    <row r="20" spans="1:3" x14ac:dyDescent="0.25">
      <c r="A20" s="23" t="s">
        <v>90</v>
      </c>
      <c r="B20" s="24">
        <v>85</v>
      </c>
      <c r="C20" s="25">
        <v>85</v>
      </c>
    </row>
    <row r="21" spans="1:3" x14ac:dyDescent="0.25">
      <c r="A21" s="27" t="s">
        <v>72</v>
      </c>
      <c r="B21" s="21" cm="1">
        <f t="array" ref="B21">_xll.qlSmileSectionVolatility(B11,B20)</f>
        <v>0.2</v>
      </c>
      <c r="C21" s="22" cm="1">
        <f t="array" ref="C21">_xll.qlSmileSectionVolatility(C11,C20)</f>
        <v>0.2</v>
      </c>
    </row>
    <row r="22" spans="1:3" x14ac:dyDescent="0.25">
      <c r="A22" s="20" t="s">
        <v>29</v>
      </c>
      <c r="B22" s="14">
        <v>85</v>
      </c>
      <c r="C22" s="15">
        <v>85</v>
      </c>
    </row>
    <row r="23" spans="1:3" x14ac:dyDescent="0.25">
      <c r="A23" s="20" t="s">
        <v>23</v>
      </c>
      <c r="B23" s="14" t="s">
        <v>89</v>
      </c>
      <c r="C23" s="15" t="s">
        <v>89</v>
      </c>
    </row>
    <row r="24" spans="1:3" x14ac:dyDescent="0.25">
      <c r="A24" s="20" t="s">
        <v>24</v>
      </c>
      <c r="B24" s="14">
        <v>0.5</v>
      </c>
      <c r="C24" s="15">
        <v>0.5</v>
      </c>
    </row>
    <row r="25" spans="1:3" x14ac:dyDescent="0.25">
      <c r="A25" s="27" t="s">
        <v>99</v>
      </c>
      <c r="B25" s="21" cm="1">
        <f t="array" ref="B25">_xll.qlSmileSectionVolatility2(B11,B22,B23,B24)</f>
        <v>0.2</v>
      </c>
      <c r="C25" s="22" cm="1">
        <f t="array" ref="C25">_xll.qlSmileSectionVolatility2(C11,C22,C23,C24)</f>
        <v>0.2</v>
      </c>
    </row>
    <row r="26" spans="1:3" x14ac:dyDescent="0.25">
      <c r="A26" s="32" t="s">
        <v>97</v>
      </c>
      <c r="B26" s="14" cm="1">
        <f t="array" ref="B26">_xll.qlSmileSectionExerciseDate(B11)</f>
        <v>0</v>
      </c>
      <c r="C26" s="15" cm="1">
        <f t="array" ref="C26">_xll.qlSmileSectionExerciseDate(C11)</f>
        <v>0</v>
      </c>
    </row>
    <row r="27" spans="1:3" x14ac:dyDescent="0.25">
      <c r="A27" s="37" t="s">
        <v>100</v>
      </c>
      <c r="B27" s="30" t="str" cm="1">
        <f t="array" ref="B27">_xll.qlSmileSectionVolatilityType(B11)</f>
        <v>SHIFTEDLOGNORMAL</v>
      </c>
      <c r="C27" s="31" t="str" cm="1">
        <f t="array" ref="C27">_xll.qlSmileSectionVolatilityType(C11)</f>
        <v>SHIFTEDLOGNORMAL</v>
      </c>
    </row>
    <row r="28" spans="1:3" x14ac:dyDescent="0.25">
      <c r="A28" s="33" t="s">
        <v>101</v>
      </c>
      <c r="B28" s="34" cm="1">
        <f t="array" ref="B28">_xll.qlSmileSectionShift(B11)</f>
        <v>0</v>
      </c>
      <c r="C28" s="35" cm="1">
        <f t="array" ref="C28">_xll.qlSmileSectionShift(C11)</f>
        <v>0</v>
      </c>
    </row>
    <row r="29" spans="1:3" x14ac:dyDescent="0.25">
      <c r="A29" s="38" t="s">
        <v>102</v>
      </c>
      <c r="B29" s="39"/>
      <c r="C29" s="40"/>
    </row>
    <row r="30" spans="1:3" x14ac:dyDescent="0.25">
      <c r="A30" s="33" t="s">
        <v>103</v>
      </c>
      <c r="B30" s="34" cm="1">
        <f t="array" ref="B30">_xll.qlSmileSectionExerciseTime(B11)</f>
        <v>1</v>
      </c>
      <c r="C30" s="35" cm="1">
        <f t="array" ref="C30">_xll.qlSmileSectionExerciseTime(C11)</f>
        <v>1</v>
      </c>
    </row>
    <row r="31" spans="1:3" x14ac:dyDescent="0.25">
      <c r="A31" s="37" t="s">
        <v>98</v>
      </c>
      <c r="B31" s="39" t="str" cm="1">
        <f t="array" ref="B31">_xll.qlSmileSectionDayCounter(B11)</f>
        <v>Actual/365 (Fixed)</v>
      </c>
      <c r="C31" s="40" t="str" cm="1">
        <f t="array" ref="C31">_xll.qlSmileSectionDayCounter(C11)</f>
        <v>Actual/365 (Fixed)</v>
      </c>
    </row>
    <row r="32" spans="1:3" x14ac:dyDescent="0.25">
      <c r="A32" s="23" t="s">
        <v>90</v>
      </c>
      <c r="B32" s="24">
        <v>85</v>
      </c>
      <c r="C32" s="25">
        <v>85</v>
      </c>
    </row>
    <row r="33" spans="1:3" x14ac:dyDescent="0.25">
      <c r="A33" s="27" t="s">
        <v>72</v>
      </c>
      <c r="B33" s="21" cm="1">
        <f t="array" ref="B33">_xll.qlSmileSectionVolatility(B11,B32)</f>
        <v>0.2</v>
      </c>
      <c r="C33" s="22" cm="1">
        <f t="array" ref="C33">_xll.qlSmileSectionVolatility(C11,C32)</f>
        <v>0.2</v>
      </c>
    </row>
    <row r="34" spans="1:3" x14ac:dyDescent="0.25">
      <c r="A34" s="20" t="s">
        <v>90</v>
      </c>
      <c r="B34" s="14">
        <v>85</v>
      </c>
      <c r="C34" s="15">
        <v>85</v>
      </c>
    </row>
    <row r="35" spans="1:3" x14ac:dyDescent="0.25">
      <c r="A35" s="27" t="s">
        <v>73</v>
      </c>
      <c r="B35" s="21" cm="1">
        <f t="array" ref="B35">_xll.qlSmileSectionVariance(B11,B34)</f>
        <v>4.0000000000000008E-2</v>
      </c>
      <c r="C35" s="22" cm="1">
        <f t="array" ref="C35">_xll.qlSmileSectionVariance(C11,C34)</f>
        <v>4.0000000000000008E-2</v>
      </c>
    </row>
    <row r="36" spans="1:3" x14ac:dyDescent="0.25">
      <c r="A36" s="10"/>
    </row>
    <row r="37" spans="1:3" x14ac:dyDescent="0.25">
      <c r="A37" s="23" t="s">
        <v>84</v>
      </c>
      <c r="B37" s="24">
        <v>1</v>
      </c>
      <c r="C37" s="25">
        <v>1</v>
      </c>
    </row>
    <row r="38" spans="1:3" x14ac:dyDescent="0.25">
      <c r="A38" s="23" t="s">
        <v>85</v>
      </c>
      <c r="B38" s="24">
        <v>80</v>
      </c>
      <c r="C38" s="25">
        <v>80</v>
      </c>
    </row>
    <row r="39" spans="1:3" x14ac:dyDescent="0.25">
      <c r="A39" s="20" t="s">
        <v>85</v>
      </c>
      <c r="B39" s="14">
        <v>90</v>
      </c>
      <c r="C39" s="15">
        <v>90</v>
      </c>
    </row>
    <row r="40" spans="1:3" x14ac:dyDescent="0.25">
      <c r="A40" s="20" t="s">
        <v>85</v>
      </c>
      <c r="B40" s="14">
        <v>100</v>
      </c>
      <c r="C40" s="15">
        <v>100</v>
      </c>
    </row>
    <row r="41" spans="1:3" x14ac:dyDescent="0.25">
      <c r="A41" s="20" t="s">
        <v>85</v>
      </c>
      <c r="B41" s="14">
        <v>110</v>
      </c>
      <c r="C41" s="15">
        <v>110</v>
      </c>
    </row>
    <row r="42" spans="1:3" x14ac:dyDescent="0.25">
      <c r="A42" s="28" t="s">
        <v>85</v>
      </c>
      <c r="B42" s="21">
        <v>120</v>
      </c>
      <c r="C42" s="22">
        <v>120</v>
      </c>
    </row>
    <row r="43" spans="1:3" x14ac:dyDescent="0.25">
      <c r="A43" s="23" t="s">
        <v>86</v>
      </c>
      <c r="B43" s="24">
        <v>0.18</v>
      </c>
      <c r="C43" s="25">
        <v>0.18</v>
      </c>
    </row>
    <row r="44" spans="1:3" x14ac:dyDescent="0.25">
      <c r="A44" s="20" t="s">
        <v>86</v>
      </c>
      <c r="B44" s="14">
        <v>0.19</v>
      </c>
      <c r="C44" s="15">
        <v>0.19</v>
      </c>
    </row>
    <row r="45" spans="1:3" x14ac:dyDescent="0.25">
      <c r="A45" s="20" t="s">
        <v>86</v>
      </c>
      <c r="B45" s="14">
        <v>0.2</v>
      </c>
      <c r="C45" s="15">
        <v>0.2</v>
      </c>
    </row>
    <row r="46" spans="1:3" x14ac:dyDescent="0.25">
      <c r="A46" s="20" t="s">
        <v>86</v>
      </c>
      <c r="B46" s="14">
        <v>0.21</v>
      </c>
      <c r="C46" s="15">
        <v>0.21</v>
      </c>
    </row>
    <row r="47" spans="1:3" x14ac:dyDescent="0.25">
      <c r="A47" s="28" t="s">
        <v>86</v>
      </c>
      <c r="B47" s="21">
        <v>0.22</v>
      </c>
      <c r="C47" s="22">
        <v>0.22</v>
      </c>
    </row>
    <row r="48" spans="1:3" x14ac:dyDescent="0.25">
      <c r="A48" s="20" t="s">
        <v>87</v>
      </c>
      <c r="B48" s="14">
        <v>100</v>
      </c>
      <c r="C48" s="15">
        <v>100</v>
      </c>
    </row>
    <row r="49" spans="1:3" x14ac:dyDescent="0.25">
      <c r="A49" s="20" t="s">
        <v>22</v>
      </c>
      <c r="B49" s="14"/>
      <c r="C49" s="15" t="s">
        <v>81</v>
      </c>
    </row>
    <row r="50" spans="1:3" x14ac:dyDescent="0.25">
      <c r="A50" s="20" t="s">
        <v>23</v>
      </c>
      <c r="B50" s="14"/>
      <c r="C50" s="15" t="s">
        <v>89</v>
      </c>
    </row>
    <row r="51" spans="1:3" x14ac:dyDescent="0.25">
      <c r="A51" s="20" t="s">
        <v>24</v>
      </c>
      <c r="B51" s="14"/>
      <c r="C51" s="15">
        <v>0.2</v>
      </c>
    </row>
    <row r="52" spans="1:3" x14ac:dyDescent="0.25">
      <c r="A52" s="20" t="s">
        <v>88</v>
      </c>
      <c r="B52" s="14"/>
      <c r="C52" s="15" t="b">
        <v>1</v>
      </c>
    </row>
    <row r="53" spans="1:3" x14ac:dyDescent="0.25">
      <c r="A53" s="27" t="s">
        <v>68</v>
      </c>
      <c r="B53" s="21" t="str" cm="1">
        <f t="array" ref="B53">_xll.qlLinearInterpolatedSmileSection(B37,B38:B42,B43:B47,B48)</f>
        <v>欣[test_volatilities.xlsx]SmileSection!R53C2LinearInterpolatedSmileSection,A</v>
      </c>
      <c r="C53" s="22" t="str" cm="1">
        <f t="array" ref="C53">_xll.qlLinearInterpolatedSmileSection(C37,C38:C42,C43:C47,C48,C49,C50,C51,C52)</f>
        <v>欣[test_volatilities.xlsx]SmileSection!R53C3LinearInterpolatedSmileSection,A</v>
      </c>
    </row>
    <row r="54" spans="1:3" x14ac:dyDescent="0.25">
      <c r="A54" s="19" t="s">
        <v>112</v>
      </c>
      <c r="B54" s="14" t="str" cm="1">
        <f t="array" ref="B54">_xll.qlCubicInterpolatedSmileSection(B37,B38:B42,B43:B47,B48)</f>
        <v>欣[test_volatilities.xlsx]SmileSection!R54C2CubicInterpolatedSmileSection,A</v>
      </c>
      <c r="C54" s="15" t="str" cm="1">
        <f t="array" ref="C54">_xll.qlCubicInterpolatedSmileSection(C37,C38:C42,C43:C47,C48,C49,C50,C51,C52)</f>
        <v>欣[test_volatilities.xlsx]SmileSection!R54C3CubicInterpolatedSmileSection,A</v>
      </c>
    </row>
    <row r="55" spans="1:3" x14ac:dyDescent="0.25">
      <c r="A55" s="29" t="s">
        <v>113</v>
      </c>
      <c r="B55" s="30" t="str" cm="1">
        <f t="array" ref="B55">_xll.qlMonotonicCubicInterpolatedSmileSection(B37,B38:B42,B43:B47,B48)</f>
        <v>欣[test_volatilities.xlsx]SmileSection!R55C2MonotonicCubicInterpolatedSmileSection,A</v>
      </c>
      <c r="C55" s="31" t="str" cm="1">
        <f t="array" ref="C55">_xll.qlMonotonicCubicInterpolatedSmileSection(C37,C38:C42,C43:C47,C48,C49,C50,C51,C52)</f>
        <v>欣[test_volatilities.xlsx]SmileSection!R55C3MonotonicCubicInterpolatedSmileSection,A</v>
      </c>
    </row>
    <row r="56" spans="1:3" x14ac:dyDescent="0.25">
      <c r="A56" s="29" t="s">
        <v>114</v>
      </c>
      <c r="B56" s="30" t="str" cm="1">
        <f t="array" ref="B56">_xll.qlSplineCubicInterpolatedSmileSection(B37,B38:B42,B43:B47,B48)</f>
        <v>欣[test_volatilities.xlsx]SmileSection!R56C2SplineCubicInterpolatedSmileSection,A</v>
      </c>
      <c r="C56" s="31" t="str" cm="1">
        <f t="array" ref="C56">_xll.qlSplineCubicInterpolatedSmileSection(C37,C38:C42,C43:C47,C48,C49,C50,C51,C52)</f>
        <v>欣[test_volatilities.xlsx]SmileSection!R56C3SplineCubicInterpolatedSmileSection,A</v>
      </c>
    </row>
    <row r="57" spans="1:3" x14ac:dyDescent="0.25">
      <c r="A57" s="19" t="s">
        <v>69</v>
      </c>
      <c r="B57" s="14" cm="1">
        <f t="array" ref="B57">_xll.qlSmileSectionMinStrike(B53)</f>
        <v>80</v>
      </c>
      <c r="C57" s="15" cm="1">
        <f t="array" ref="C57">_xll.qlSmileSectionMinStrike(C53)</f>
        <v>80</v>
      </c>
    </row>
    <row r="58" spans="1:3" x14ac:dyDescent="0.25">
      <c r="A58" s="29" t="s">
        <v>70</v>
      </c>
      <c r="B58" s="30" cm="1">
        <f t="array" ref="B58">_xll.qlSmileSectionMaxStrike(B53)</f>
        <v>120</v>
      </c>
      <c r="C58" s="31" cm="1">
        <f t="array" ref="C58">_xll.qlSmileSectionMaxStrike(C53)</f>
        <v>120</v>
      </c>
    </row>
    <row r="59" spans="1:3" x14ac:dyDescent="0.25">
      <c r="A59" s="19" t="s">
        <v>71</v>
      </c>
      <c r="B59" s="14" cm="1">
        <f t="array" ref="B59">_xll.qlSmileSectionAtmLevel(B53)</f>
        <v>100</v>
      </c>
      <c r="C59" s="15" cm="1">
        <f t="array" ref="C59">_xll.qlSmileSectionAtmLevel(C53)</f>
        <v>100</v>
      </c>
    </row>
    <row r="60" spans="1:3" x14ac:dyDescent="0.25">
      <c r="A60" s="23" t="s">
        <v>90</v>
      </c>
      <c r="B60" s="24">
        <v>85</v>
      </c>
      <c r="C60" s="25">
        <v>85</v>
      </c>
    </row>
    <row r="61" spans="1:3" x14ac:dyDescent="0.25">
      <c r="A61" s="27" t="s">
        <v>72</v>
      </c>
      <c r="B61" s="21" cm="1">
        <f t="array" ref="B61">_xll.qlSmileSectionVolatility(B53,B60)</f>
        <v>0.185</v>
      </c>
      <c r="C61" s="22" cm="1">
        <f t="array" ref="C61">_xll.qlSmileSectionVolatility(C53,C60)</f>
        <v>0.185</v>
      </c>
    </row>
    <row r="62" spans="1:3" x14ac:dyDescent="0.25">
      <c r="A62" s="20" t="s">
        <v>29</v>
      </c>
      <c r="B62" s="14">
        <v>85</v>
      </c>
      <c r="C62" s="15">
        <v>85</v>
      </c>
    </row>
    <row r="63" spans="1:3" x14ac:dyDescent="0.25">
      <c r="A63" s="20" t="s">
        <v>23</v>
      </c>
      <c r="B63" s="14" t="s">
        <v>89</v>
      </c>
      <c r="C63" s="15" t="s">
        <v>89</v>
      </c>
    </row>
    <row r="64" spans="1:3" x14ac:dyDescent="0.25">
      <c r="A64" s="20" t="s">
        <v>24</v>
      </c>
      <c r="B64" s="14">
        <v>0.5</v>
      </c>
      <c r="C64" s="15">
        <v>0.5</v>
      </c>
    </row>
    <row r="65" spans="1:3" x14ac:dyDescent="0.25">
      <c r="A65" s="27" t="s">
        <v>99</v>
      </c>
      <c r="B65" s="21" cm="1">
        <f t="array" ref="B65">_xll.qlSmileSectionVolatility2(B53,B62,B63,B64)</f>
        <v>0.185</v>
      </c>
      <c r="C65" s="22" cm="1">
        <f t="array" ref="C65">_xll.qlSmileSectionVolatility2(C53,C62,C63,C64)</f>
        <v>0.185</v>
      </c>
    </row>
    <row r="66" spans="1:3" x14ac:dyDescent="0.25">
      <c r="A66" s="32" t="s">
        <v>97</v>
      </c>
      <c r="B66" s="14" cm="1">
        <f t="array" ref="B66">_xll.qlSmileSectionExerciseDate(B53)</f>
        <v>0</v>
      </c>
      <c r="C66" s="15" cm="1">
        <f t="array" ref="C66">_xll.qlSmileSectionExerciseDate(C53)</f>
        <v>0</v>
      </c>
    </row>
    <row r="67" spans="1:3" x14ac:dyDescent="0.25">
      <c r="A67" s="33" t="s">
        <v>100</v>
      </c>
      <c r="B67" s="14" t="str" cm="1">
        <f t="array" ref="B67">_xll.qlSmileSectionVolatilityType(B53)</f>
        <v>SHIFTEDLOGNORMAL</v>
      </c>
      <c r="C67" s="15" t="str" cm="1">
        <f t="array" ref="C67">_xll.qlSmileSectionVolatilityType(C53)</f>
        <v>SHIFTEDLOGNORMAL</v>
      </c>
    </row>
    <row r="68" spans="1:3" x14ac:dyDescent="0.25">
      <c r="A68" s="33" t="s">
        <v>101</v>
      </c>
      <c r="B68" s="34" cm="1">
        <f t="array" ref="B68">_xll.qlSmileSectionShift(B53)</f>
        <v>0</v>
      </c>
      <c r="C68" s="35" cm="1">
        <f t="array" ref="C68">_xll.qlSmileSectionShift(C53)</f>
        <v>0.2</v>
      </c>
    </row>
    <row r="69" spans="1:3" x14ac:dyDescent="0.25">
      <c r="A69" s="32" t="s">
        <v>102</v>
      </c>
      <c r="B69" s="34"/>
      <c r="C69" s="35"/>
    </row>
    <row r="70" spans="1:3" x14ac:dyDescent="0.25">
      <c r="A70" s="33" t="s">
        <v>103</v>
      </c>
      <c r="B70" s="34" cm="1">
        <f t="array" ref="B70">_xll.qlSmileSectionExerciseTime(B53)</f>
        <v>1</v>
      </c>
      <c r="C70" s="35"/>
    </row>
    <row r="71" spans="1:3" x14ac:dyDescent="0.25">
      <c r="A71" s="33" t="s">
        <v>98</v>
      </c>
      <c r="B71" s="34" t="str" cm="1">
        <f t="array" ref="B71">_xll.qlSmileSectionDayCounter(B53)</f>
        <v>Actual/365 (Fixed)</v>
      </c>
      <c r="C71" s="35"/>
    </row>
    <row r="72" spans="1:3" x14ac:dyDescent="0.25">
      <c r="A72" s="20" t="s">
        <v>90</v>
      </c>
      <c r="B72" s="14">
        <v>85</v>
      </c>
      <c r="C72" s="15">
        <v>85</v>
      </c>
    </row>
    <row r="73" spans="1:3" x14ac:dyDescent="0.25">
      <c r="A73" s="19" t="s">
        <v>73</v>
      </c>
      <c r="B73" s="14" cm="1">
        <f t="array" ref="B73">_xll.qlSmileSectionVariance(B53,B72)</f>
        <v>3.4224999999999998E-2</v>
      </c>
      <c r="C73" s="15" cm="1">
        <f t="array" ref="C73">_xll.qlSmileSectionVariance(C53,C72)</f>
        <v>3.4224999999999998E-2</v>
      </c>
    </row>
    <row r="74" spans="1:3" x14ac:dyDescent="0.25">
      <c r="A74" s="23" t="s">
        <v>29</v>
      </c>
      <c r="B74" s="24">
        <v>85</v>
      </c>
      <c r="C74" s="25">
        <v>85</v>
      </c>
    </row>
    <row r="75" spans="1:3" x14ac:dyDescent="0.25">
      <c r="A75" s="16" t="s">
        <v>91</v>
      </c>
      <c r="B75" s="34"/>
      <c r="C75" s="35" t="s">
        <v>108</v>
      </c>
    </row>
    <row r="76" spans="1:3" x14ac:dyDescent="0.25">
      <c r="A76" s="20" t="s">
        <v>92</v>
      </c>
      <c r="B76" s="14"/>
      <c r="C76" s="15">
        <v>1</v>
      </c>
    </row>
    <row r="77" spans="1:3" x14ac:dyDescent="0.25">
      <c r="A77" s="27" t="s">
        <v>75</v>
      </c>
      <c r="B77" s="21" cm="1">
        <f t="array" ref="B77">_xll.qlSmileSectionOptionPrice(B53,B74)</f>
        <v>16.776954275331548</v>
      </c>
      <c r="C77" s="22" cm="1">
        <f t="array" ref="C77">_xll.qlSmileSectionOptionPrice(C53,C74,C75,C76)</f>
        <v>16.786994734988184</v>
      </c>
    </row>
    <row r="78" spans="1:3" x14ac:dyDescent="0.25">
      <c r="A78" s="20" t="s">
        <v>29</v>
      </c>
      <c r="B78" s="14">
        <v>85</v>
      </c>
      <c r="C78" s="15"/>
    </row>
    <row r="79" spans="1:3" x14ac:dyDescent="0.25">
      <c r="A79" s="20" t="s">
        <v>91</v>
      </c>
      <c r="B79" s="14"/>
      <c r="C79" s="15"/>
    </row>
    <row r="80" spans="1:3" x14ac:dyDescent="0.25">
      <c r="A80" s="20" t="s">
        <v>104</v>
      </c>
      <c r="B80" s="14"/>
      <c r="C80" s="15"/>
    </row>
    <row r="81" spans="1:3" x14ac:dyDescent="0.25">
      <c r="A81" s="20" t="s">
        <v>105</v>
      </c>
      <c r="B81" s="14"/>
      <c r="C81" s="15"/>
    </row>
    <row r="82" spans="1:3" x14ac:dyDescent="0.25">
      <c r="A82" s="19" t="s">
        <v>106</v>
      </c>
      <c r="B82" s="14" cm="1">
        <f t="array" ref="B82">_xll.qlSmileSectionDigitalOptionPrice(B53,B78)</f>
        <v>0.75916154855804041</v>
      </c>
      <c r="C82" s="15"/>
    </row>
    <row r="83" spans="1:3" x14ac:dyDescent="0.25">
      <c r="A83" s="20" t="s">
        <v>29</v>
      </c>
      <c r="B83" s="14">
        <v>85</v>
      </c>
      <c r="C83" s="15"/>
    </row>
    <row r="84" spans="1:3" x14ac:dyDescent="0.25">
      <c r="A84" s="20" t="s">
        <v>92</v>
      </c>
      <c r="B84" s="14"/>
      <c r="C84" s="15"/>
    </row>
    <row r="85" spans="1:3" x14ac:dyDescent="0.25">
      <c r="A85" s="19" t="s">
        <v>107</v>
      </c>
      <c r="B85" s="14" cm="1">
        <f t="array" ref="B85">_xll.qlSmileSectionVega(B53,B83)</f>
        <v>0.24899056044903981</v>
      </c>
      <c r="C85" s="15"/>
    </row>
    <row r="86" spans="1:3" x14ac:dyDescent="0.25">
      <c r="A86" s="20" t="s">
        <v>29</v>
      </c>
      <c r="B86" s="14">
        <v>85</v>
      </c>
      <c r="C86" s="15">
        <v>85</v>
      </c>
    </row>
    <row r="87" spans="1:3" x14ac:dyDescent="0.25">
      <c r="A87" s="19" t="s">
        <v>74</v>
      </c>
      <c r="B87" s="14" cm="1">
        <f t="array" ref="B87">_xll.qlSmileSectionDensity(B53,B86)</f>
        <v>2.1806556560477475E-2</v>
      </c>
      <c r="C87" s="15" cm="1">
        <f t="array" ref="C87">_xll.qlSmileSectionDensity(C53,C86)</f>
        <v>2.1789503534819232E-2</v>
      </c>
    </row>
    <row r="88" spans="1:3" x14ac:dyDescent="0.25">
      <c r="A88" s="23" t="s">
        <v>93</v>
      </c>
      <c r="B88" s="24"/>
      <c r="C88" s="25">
        <v>200</v>
      </c>
    </row>
    <row r="89" spans="1:3" x14ac:dyDescent="0.25">
      <c r="A89" s="20" t="s">
        <v>94</v>
      </c>
      <c r="B89" s="14"/>
      <c r="C89" s="15">
        <v>5</v>
      </c>
    </row>
    <row r="90" spans="1:3" x14ac:dyDescent="0.25">
      <c r="A90" s="27" t="s">
        <v>76</v>
      </c>
      <c r="B90" s="21" t="str" cm="1">
        <f t="array" ref="B90">_xll.qlSmileSectionRNDCalculator(B53)</f>
        <v>欣[test_volatilities.xlsx]SmileSection!R90C2SmileSectionRNDCalculator,A</v>
      </c>
      <c r="C90" s="22" t="str" cm="1">
        <f t="array" ref="C90">_xll.qlSmileSectionRNDCalculator(C53,C88,C89)</f>
        <v>欣[test_volatilities.xlsx]SmileSection!R90C3SmileSectionRNDCalculator,A</v>
      </c>
    </row>
    <row r="91" spans="1:3" x14ac:dyDescent="0.25">
      <c r="A91" s="23" t="s">
        <v>95</v>
      </c>
      <c r="B91" s="24">
        <v>5</v>
      </c>
      <c r="C91" s="25">
        <v>5</v>
      </c>
    </row>
    <row r="92" spans="1:3" x14ac:dyDescent="0.25">
      <c r="A92" s="33" t="s">
        <v>77</v>
      </c>
      <c r="B92" s="14" cm="1">
        <f t="array" ref="B92">_xll.qlSmileSectionRNDCalculatorPDF(B90,B91)</f>
        <v>0.22930948835306197</v>
      </c>
      <c r="C92" s="15" cm="1">
        <f t="array" ref="C92">_xll.qlSmileSectionRNDCalculatorPDF(C90,C91)</f>
        <v>0.29710315923141317</v>
      </c>
    </row>
    <row r="93" spans="1:3" x14ac:dyDescent="0.25">
      <c r="A93" s="26" t="s">
        <v>95</v>
      </c>
      <c r="B93" s="24">
        <v>5</v>
      </c>
      <c r="C93" s="25">
        <v>5</v>
      </c>
    </row>
    <row r="94" spans="1:3" x14ac:dyDescent="0.25">
      <c r="A94" s="27" t="s">
        <v>78</v>
      </c>
      <c r="B94" s="21" cm="1">
        <f t="array" ref="B94">_xll.qlSmileSectionRNDCalculatorCDF(B90,B93)</f>
        <v>0.97033772869414747</v>
      </c>
      <c r="C94" s="22" cm="1">
        <f t="array" ref="C94">_xll.qlSmileSectionRNDCalculatorCDF(C90,C93)</f>
        <v>0.97139614320573742</v>
      </c>
    </row>
    <row r="95" spans="1:3" x14ac:dyDescent="0.25">
      <c r="A95" s="20" t="s">
        <v>96</v>
      </c>
      <c r="B95" s="14">
        <v>0.5</v>
      </c>
      <c r="C95" s="15">
        <v>0.5</v>
      </c>
    </row>
    <row r="96" spans="1:3" x14ac:dyDescent="0.25">
      <c r="A96" s="27" t="s">
        <v>79</v>
      </c>
      <c r="B96" s="21" cm="1">
        <f t="array" ref="B96">_xll.qlSmileSectionRNDCalculatorInverseCDF(B90,B95)</f>
        <v>4.5670760278680405</v>
      </c>
      <c r="C96" s="22" cm="1">
        <f t="array" ref="C96">_xll.qlSmileSectionRNDCalculatorInverseCDF(C90,C95)</f>
        <v>4.5669646260372998</v>
      </c>
    </row>
    <row r="98" spans="1:3" x14ac:dyDescent="0.25">
      <c r="A98" s="5" t="s">
        <v>109</v>
      </c>
      <c r="B98" s="12">
        <v>46539</v>
      </c>
      <c r="C98" s="7">
        <v>46539</v>
      </c>
    </row>
    <row r="99" spans="1:3" x14ac:dyDescent="0.25">
      <c r="A99" s="41" t="s">
        <v>21</v>
      </c>
      <c r="B99" s="14">
        <v>0.2</v>
      </c>
      <c r="C99" s="15">
        <v>0.2</v>
      </c>
    </row>
    <row r="100" spans="1:3" x14ac:dyDescent="0.25">
      <c r="A100" s="41" t="s">
        <v>22</v>
      </c>
      <c r="B100" s="14" t="s">
        <v>110</v>
      </c>
      <c r="C100" s="15" t="s">
        <v>110</v>
      </c>
    </row>
    <row r="101" spans="1:3" x14ac:dyDescent="0.25">
      <c r="A101" s="41" t="s">
        <v>18</v>
      </c>
      <c r="B101" s="14"/>
      <c r="C101" s="18">
        <v>46174</v>
      </c>
    </row>
    <row r="102" spans="1:3" x14ac:dyDescent="0.25">
      <c r="A102" s="41" t="s">
        <v>87</v>
      </c>
      <c r="B102" s="14"/>
      <c r="C102" s="15">
        <v>80</v>
      </c>
    </row>
    <row r="103" spans="1:3" x14ac:dyDescent="0.25">
      <c r="A103" s="41" t="s">
        <v>23</v>
      </c>
      <c r="B103" s="14"/>
      <c r="C103" s="15" t="s">
        <v>89</v>
      </c>
    </row>
    <row r="104" spans="1:3" x14ac:dyDescent="0.25">
      <c r="A104" s="41" t="s">
        <v>24</v>
      </c>
      <c r="B104" s="14"/>
      <c r="C104" s="15">
        <v>1</v>
      </c>
    </row>
    <row r="105" spans="1:3" x14ac:dyDescent="0.25">
      <c r="A105" s="27" t="s">
        <v>111</v>
      </c>
      <c r="B105" s="21" t="str" cm="1">
        <f t="array" ref="B105">_xll.qlFlatSmileSection(B98,B99,B100)</f>
        <v>欣[test_volatilities.xlsx]SmileSection!R105C2FlatSmileSection,A</v>
      </c>
      <c r="C105" s="22" t="str" cm="1">
        <f t="array" ref="C105">_xll.qlFlatSmileSection(C98,C99,C100,C101,C102,C103,C104)</f>
        <v>欣[test_volatilities.xlsx]SmileSection!R105C3FlatSmileSection,A</v>
      </c>
    </row>
    <row r="106" spans="1:3" x14ac:dyDescent="0.25">
      <c r="A106" s="5" t="s">
        <v>84</v>
      </c>
      <c r="B106" s="42">
        <v>1</v>
      </c>
      <c r="C106" s="43">
        <v>1</v>
      </c>
    </row>
    <row r="107" spans="1:3" x14ac:dyDescent="0.25">
      <c r="A107" s="41" t="s">
        <v>21</v>
      </c>
      <c r="B107" s="14">
        <v>0.2</v>
      </c>
      <c r="C107" s="15">
        <v>0.2</v>
      </c>
    </row>
    <row r="108" spans="1:3" x14ac:dyDescent="0.25">
      <c r="A108" s="41" t="s">
        <v>22</v>
      </c>
      <c r="B108" s="14" t="s">
        <v>110</v>
      </c>
      <c r="C108" s="15" t="s">
        <v>110</v>
      </c>
    </row>
    <row r="109" spans="1:3" x14ac:dyDescent="0.25">
      <c r="A109" s="41" t="s">
        <v>87</v>
      </c>
      <c r="B109" s="14"/>
      <c r="C109" s="15">
        <v>80</v>
      </c>
    </row>
    <row r="110" spans="1:3" x14ac:dyDescent="0.25">
      <c r="A110" s="41" t="s">
        <v>23</v>
      </c>
      <c r="B110" s="14"/>
      <c r="C110" s="15" t="s">
        <v>89</v>
      </c>
    </row>
    <row r="111" spans="1:3" x14ac:dyDescent="0.25">
      <c r="A111" s="41" t="s">
        <v>24</v>
      </c>
      <c r="B111" s="14"/>
      <c r="C111" s="15">
        <v>1</v>
      </c>
    </row>
    <row r="112" spans="1:3" x14ac:dyDescent="0.25">
      <c r="A112" s="27" t="s">
        <v>115</v>
      </c>
      <c r="B112" s="21" t="str" cm="1">
        <f t="array" ref="B112">_xll.qlFlatSmileSection2(B106,B107,B108)</f>
        <v>欣[test_volatilities.xlsx]SmileSection!R112C2FlatSmileSection,A</v>
      </c>
      <c r="C112" s="22" t="str" cm="1">
        <f t="array" ref="C112">_xll.qlFlatSmileSection2(C106,C107,C108,C109,C110,C111)</f>
        <v>欣[test_volatilities.xlsx]SmileSection!R112C3FlatSmileSection,A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Tabs</vt:lpstr>
      <vt:lpstr>BlackConstantVol</vt:lpstr>
      <vt:lpstr>BlackVarianceCurve</vt:lpstr>
      <vt:lpstr>ConstantOptionletVolatility</vt:lpstr>
      <vt:lpstr>ConstantSwaptionVolatility</vt:lpstr>
      <vt:lpstr>SwaptionVolatilityMatrix</vt:lpstr>
      <vt:lpstr>SmileSection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2026-06-01T16:20:17Z</dcterms:created>
  <dcterms:modified xsi:type="dcterms:W3CDTF">2026-10-20T14:03:04Z</dcterms:modified>
</cp:coreProperties>
</file>