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04F7B273-20F1-49A9-A79B-A8303E76B211}" xr6:coauthVersionLast="36" xr6:coauthVersionMax="47" xr10:uidLastSave="{00000000-0000-0000-0000-000000000000}"/>
  <bookViews>
    <workbookView xWindow="7290" yWindow="-21285" windowWidth="30255" windowHeight="16650" xr2:uid="{B3EEA080-4589-4824-92D0-D334717E2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B12" i="1"/>
  <c r="B13" i="1" s="1" a="1"/>
  <c r="B2" i="1" a="1"/>
  <c r="B28" i="1" a="1"/>
  <c r="B27" i="1" a="1"/>
  <c r="B24" i="1" a="1"/>
  <c r="B24" i="1" l="1"/>
  <c r="B27" i="1"/>
  <c r="B28" i="1"/>
  <c r="B2" i="1"/>
  <c r="B13" i="1"/>
  <c r="B5" i="1"/>
  <c r="B4" i="1"/>
  <c r="B17" i="1" a="1"/>
  <c r="B6" i="1" a="1"/>
  <c r="B16" i="1" a="1"/>
  <c r="B16" i="1" l="1"/>
  <c r="B6" i="1"/>
  <c r="B17" i="1"/>
  <c r="B29" i="1"/>
  <c r="B18" i="1" a="1"/>
  <c r="B25" i="1" a="1"/>
  <c r="B9" i="1" a="1"/>
  <c r="B32" i="1" a="1"/>
  <c r="B32" i="1" l="1"/>
  <c r="B9" i="1"/>
  <c r="B47" i="1" s="1"/>
  <c r="B25" i="1"/>
  <c r="B18" i="1"/>
  <c r="B34" i="1" a="1"/>
  <c r="B33" i="1" a="1"/>
  <c r="B52" i="1" a="1"/>
  <c r="B52" i="1" l="1"/>
  <c r="B33" i="1"/>
  <c r="B34" i="1"/>
  <c r="B38" i="1" a="1"/>
  <c r="B37" i="1" a="1"/>
  <c r="B40" i="1" a="1"/>
  <c r="B41" i="1" a="1"/>
  <c r="B43" i="1" a="1"/>
  <c r="B44" i="1" a="1"/>
  <c r="B44" i="1" l="1"/>
  <c r="B43" i="1"/>
  <c r="B41" i="1"/>
  <c r="B40" i="1"/>
  <c r="B37" i="1"/>
  <c r="B38" i="1"/>
  <c r="B60" i="1" a="1"/>
  <c r="B59" i="1" a="1"/>
  <c r="B58" i="1" a="1"/>
  <c r="B57" i="1" a="1"/>
  <c r="B55" i="1" a="1"/>
  <c r="B56" i="1" a="1"/>
  <c r="B56" i="1" l="1"/>
  <c r="B55" i="1"/>
  <c r="B57" i="1"/>
  <c r="B58" i="1"/>
  <c r="B59" i="1"/>
  <c r="B60" i="1"/>
</calcChain>
</file>

<file path=xl/sharedStrings.xml><?xml version="1.0" encoding="utf-8"?>
<sst xmlns="http://schemas.openxmlformats.org/spreadsheetml/2006/main" count="50" uniqueCount="50">
  <si>
    <t>Today</t>
  </si>
  <si>
    <t>Set evaluation date</t>
  </si>
  <si>
    <t>Discount curve</t>
  </si>
  <si>
    <t>Dividend curve</t>
  </si>
  <si>
    <t>Volatility</t>
  </si>
  <si>
    <t>Spot</t>
  </si>
  <si>
    <t>Process</t>
  </si>
  <si>
    <t>Projection curve</t>
  </si>
  <si>
    <t>Ibor Index</t>
  </si>
  <si>
    <t>Exercise</t>
  </si>
  <si>
    <t>Conversion ratio</t>
  </si>
  <si>
    <t>First exercise date</t>
  </si>
  <si>
    <t>Last exercise date</t>
  </si>
  <si>
    <t>Schedule</t>
  </si>
  <si>
    <t>Bermudan exercise</t>
  </si>
  <si>
    <t>Callability</t>
  </si>
  <si>
    <t>Issue date</t>
  </si>
  <si>
    <t>Settlement days</t>
  </si>
  <si>
    <t>Fixing days</t>
  </si>
  <si>
    <t>Maturity</t>
  </si>
  <si>
    <t>Schedule (1y)</t>
  </si>
  <si>
    <t>Schedule (3m)</t>
  </si>
  <si>
    <t>qlConvertibleZeroCouponBond</t>
  </si>
  <si>
    <t>qlConvertibleZeroCouponBond (w/ callability)</t>
  </si>
  <si>
    <t>process</t>
  </si>
  <si>
    <t>Generalized Black-Scholes process.,</t>
  </si>
  <si>
    <t>engine_type</t>
  </si>
  <si>
    <t>Binomial engine type.,</t>
  </si>
  <si>
    <t>steps</t>
  </si>
  <si>
    <t>Number of binomial steps.,</t>
  </si>
  <si>
    <t>credit_spread</t>
  </si>
  <si>
    <t>Credit spread quote handle.,</t>
  </si>
  <si>
    <t>dividends</t>
  </si>
  <si>
    <t>Optional array of dividends.,</t>
  </si>
  <si>
    <t>Engine</t>
  </si>
  <si>
    <t>CRR</t>
  </si>
  <si>
    <t>qlBinomialConvertibleEngine</t>
  </si>
  <si>
    <t>Redemption</t>
  </si>
  <si>
    <t>Npv</t>
  </si>
  <si>
    <t>qlConvertibleFixedCouponBond</t>
  </si>
  <si>
    <t>qlConvertibleFixedCouponBond (w/ callability)</t>
  </si>
  <si>
    <t>Zero</t>
  </si>
  <si>
    <t>Zero w/ callability</t>
  </si>
  <si>
    <t>Fixed</t>
  </si>
  <si>
    <t>Fixed w/ callability</t>
  </si>
  <si>
    <t>qlConvertibleFloatingRateBond</t>
  </si>
  <si>
    <t>qlConvertibleFloatingRateBond (w/ callability</t>
  </si>
  <si>
    <t>Float</t>
  </si>
  <si>
    <t>Float w/ callability</t>
  </si>
  <si>
    <t>{=qlScheduleDates(B18)}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</si>
</sst>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4" fontId="0" fillId="0" borderId="0" xfId="0" quotePrefix="1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4FE2-3664-4C38-8DF2-99DF28E9CC8F}">
  <dimension ref="A1:G60"/>
  <sheetViews>
    <sheetView tabSelected="1" workbookViewId="0">
      <selection activeCell="B60" sqref="B60"/>
    </sheetView>
  </sheetViews>
  <sheetFormatPr baseColWidth="10" defaultColWidth="9" defaultRowHeight="14.25"/>
  <cols>
    <col min="1" max="1" width="41" bestFit="1" customWidth="1"/>
    <col min="2" max="2" width="63.875" style="2" bestFit="1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>
        <f t="array" ref="B2">_xll.qlSettingsSetEvaluationDate(B1)</f>
        <v>46174</v>
      </c>
    </row>
    <row r="4" spans="1:2">
      <c r="A4" t="s">
        <v>2</v>
      </c>
      <c r="B4" s="2" t="str">
        <f>_xll.qlFlatForward(B2,0.03,"actual365fixed")</f>
        <v>欣[test_convertiblebonds.xlsx]Sheet1!R4C2YieldTermStructureHandle,A</v>
      </c>
    </row>
    <row r="5" spans="1:2">
      <c r="A5" t="s">
        <v>3</v>
      </c>
      <c r="B5" s="2" t="str">
        <f>_xll.qlFlatForward(B2,0.01,"actual365fixed")</f>
        <v>欣[test_convertiblebonds.xlsx]Sheet1!R5C2YieldTermStructureHandle,A</v>
      </c>
    </row>
    <row r="6" spans="1:2">
      <c r="A6" t="s">
        <v>4</v>
      </c>
      <c r="B6" s="2" t="str">
        <f t="array" ref="B6">_xll.qlBlackConstantVol(B2,"NullCalendar",0.25,"Act/365")</f>
        <v>欣[test_convertiblebonds.xlsx]Sheet1!R6C2BlackVolTermStructureHandle,A</v>
      </c>
    </row>
    <row r="7" spans="1:2">
      <c r="A7" t="s">
        <v>5</v>
      </c>
      <c r="B7" s="2">
        <v>100</v>
      </c>
    </row>
    <row r="9" spans="1:2">
      <c r="A9" t="s">
        <v>6</v>
      </c>
      <c r="B9" s="2" t="str">
        <f t="array" ref="B9">_xll.qlGeneralizedBlackScholesProcess(B7,B5,B4,B6)</f>
        <v>欣[test_convertiblebonds.xlsx]Sheet1!R9C2GeneralizedBlackScholesProcess,A</v>
      </c>
    </row>
    <row r="12" spans="1:2">
      <c r="A12" t="s">
        <v>7</v>
      </c>
      <c r="B12" s="2" t="str">
        <f>_xll.qlFlatForward(B10,0.03,"actual365fixed")</f>
        <v>欣[test_convertiblebonds.xlsx]Sheet1!R12C2YieldTermStructureHandle,A</v>
      </c>
    </row>
    <row r="13" spans="1:2">
      <c r="A13" t="s">
        <v>8</v>
      </c>
      <c r="B13" s="2" t="str">
        <f t="array" ref="B13">_xll.qlEuribor("3m",B12)</f>
        <v>欣[test_convertiblebonds.xlsx]Sheet1!R13C2Euribor,A</v>
      </c>
    </row>
    <row r="16" spans="1:2">
      <c r="A16" t="s">
        <v>11</v>
      </c>
      <c r="B16" s="1">
        <f t="array" ref="B16">_xll.qlCalendarAdvance("NullCalendar",B2,"5y")</f>
        <v>48000</v>
      </c>
    </row>
    <row r="17" spans="1:2">
      <c r="A17" t="s">
        <v>12</v>
      </c>
      <c r="B17" s="1">
        <f t="array" ref="B17">_xll.qlCalendarAdvance("NullCalendar",B2,"9y")</f>
        <v>49461</v>
      </c>
    </row>
    <row r="18" spans="1:2">
      <c r="A18" t="s">
        <v>13</v>
      </c>
      <c r="B18" s="1" t="str">
        <f t="array" ref="B18">_xll.qlMakeSchedule(B16,B17,"1y",,"Target")</f>
        <v>欣[test_convertiblebonds.xlsx]Sheet1!R18C2Schedule,A</v>
      </c>
    </row>
    <row r="19" spans="1:2">
      <c r="B19" s="1">
        <f>_xll.qlScheduleDates(B18)</f>
        <v>48001</v>
      </c>
    </row>
    <row r="20" spans="1:2">
      <c r="B20" s="7" t="s">
        <v>49</v>
      </c>
    </row>
    <row r="21" spans="1:2">
      <c r="B21" s="1"/>
    </row>
    <row r="22" spans="1:2">
      <c r="B22" s="1"/>
    </row>
    <row r="23" spans="1:2">
      <c r="B23" s="1"/>
    </row>
    <row r="24" spans="1:2">
      <c r="A24" t="s">
        <v>14</v>
      </c>
      <c r="B24" s="2" t="str">
        <f t="array" ref="B24">_xll.qlBermudanExercise(B19:B23)</f>
        <v>欣[test_convertiblebonds.xlsx]Sheet1!R24C2BermudanExercise,A</v>
      </c>
    </row>
    <row r="25" spans="1:2">
      <c r="A25" t="s">
        <v>9</v>
      </c>
      <c r="B25" s="2" t="str">
        <f t="array" ref="B25">_xll.qlEuropeanExercise(B16)</f>
        <v>欣[test_convertiblebonds.xlsx]Sheet1!R25C2EuropeanExercise,A</v>
      </c>
    </row>
    <row r="26" spans="1:2">
      <c r="A26" t="s">
        <v>10</v>
      </c>
      <c r="B26" s="3">
        <v>100</v>
      </c>
    </row>
    <row r="27" spans="1:2">
      <c r="A27" t="s">
        <v>15</v>
      </c>
      <c r="B27" s="2" t="str">
        <f t="array" ref="B27">_xll.qlCallability(_xll.qlBondPrice(100,"Clean"),"call",B19)</f>
        <v>欣[test_convertiblebonds.xlsx]Sheet1!R27C2Callability,A</v>
      </c>
    </row>
    <row r="28" spans="1:2">
      <c r="B28" s="2" t="str">
        <f t="array" ref="B28">_xll.qlCallability(_xll.qlBondPrice(100,"Clean"),"call",B21)</f>
        <v>欣[test_convertiblebonds.xlsx]Sheet1!R28C2Callability,A</v>
      </c>
    </row>
    <row r="29" spans="1:2">
      <c r="A29" t="s">
        <v>16</v>
      </c>
      <c r="B29" s="1">
        <f>B2+10</f>
        <v>46184</v>
      </c>
    </row>
    <row r="30" spans="1:2">
      <c r="A30" t="s">
        <v>17</v>
      </c>
      <c r="B30" s="2">
        <v>3</v>
      </c>
    </row>
    <row r="31" spans="1:2">
      <c r="A31" t="s">
        <v>18</v>
      </c>
      <c r="B31" s="2">
        <v>2</v>
      </c>
    </row>
    <row r="32" spans="1:2">
      <c r="A32" t="s">
        <v>19</v>
      </c>
      <c r="B32" s="1">
        <f t="array" ref="B32">_xll.qlCalendarAdvance("Target",B29,"10y")</f>
        <v>49837</v>
      </c>
    </row>
    <row r="33" spans="1:7">
      <c r="A33" t="s">
        <v>20</v>
      </c>
      <c r="B33" s="2" t="str">
        <f t="array" ref="B33">_xll.qlMakeSchedule(B29,B32,"1y",,"Target")</f>
        <v>欣[test_convertiblebonds.xlsx]Sheet1!R33C2Schedule,A</v>
      </c>
    </row>
    <row r="34" spans="1:7">
      <c r="A34" t="s">
        <v>21</v>
      </c>
      <c r="B34" s="2" t="str">
        <f t="array" ref="B34">_xll.qlMakeSchedule(B29,B32,"3m",,"Target")</f>
        <v>欣[test_convertiblebonds.xlsx]Sheet1!R34C2Schedule,A</v>
      </c>
    </row>
    <row r="35" spans="1:7">
      <c r="A35" t="s">
        <v>37</v>
      </c>
      <c r="B35" s="5">
        <v>10000</v>
      </c>
    </row>
    <row r="37" spans="1:7">
      <c r="A37" t="s">
        <v>22</v>
      </c>
      <c r="B37" s="2" t="str">
        <f t="array" ref="B37">_xll.qlConvertibleZeroCouponBond(B24,B26,B29,B30,"30/360",B33,B35)</f>
        <v>欣[test_convertiblebonds.xlsx]Sheet1!R37C2ConvertibleZeroCouponBond,A</v>
      </c>
    </row>
    <row r="38" spans="1:7">
      <c r="A38" t="s">
        <v>23</v>
      </c>
      <c r="B38" s="2" t="str">
        <f t="array" ref="B38">_xll.qlConvertibleZeroCouponBond(B24,B26,B29,B30,"30/360",B33,B35,B27:B28)</f>
        <v>欣[test_convertiblebonds.xlsx]Sheet1!R38C2ConvertibleZeroCouponBond,A</v>
      </c>
    </row>
    <row r="40" spans="1:7">
      <c r="A40" t="s">
        <v>39</v>
      </c>
      <c r="B40" s="2" t="str">
        <f t="array" ref="B40">_xll.qlConvertibleFixedCouponBond(B24,B26,B29,B30,0.03,"30/360",B33,B35,"0D","Target")</f>
        <v>欣[test_convertiblebonds.xlsx]Sheet1!R40C2ConvertibleFixedCouponBond,A</v>
      </c>
    </row>
    <row r="41" spans="1:7">
      <c r="A41" t="s">
        <v>40</v>
      </c>
      <c r="B41" s="2" t="str">
        <f t="array" ref="B41">_xll.qlConvertibleFixedCouponBond(B24,B26,B29,B30,0.03,"30/360",B33,B35,"0D","Target",,,B27:B28)</f>
        <v>欣[test_convertiblebonds.xlsx]Sheet1!R41C2ConvertibleFixedCouponBond,A</v>
      </c>
    </row>
    <row r="43" spans="1:7">
      <c r="A43" t="s">
        <v>45</v>
      </c>
      <c r="B43" s="2" t="str">
        <f t="array" ref="B43">_xll.qlConvertibleFloatingRateBond(B24,B26,B29,B30,B13,B31,0,"Act/360",B34,B35,"0D","Target")</f>
        <v>欣[test_convertiblebonds.xlsx]Sheet1!R43C2ConvertibleFloatingRateBond,A</v>
      </c>
    </row>
    <row r="44" spans="1:7">
      <c r="A44" t="s">
        <v>46</v>
      </c>
      <c r="B44" s="2" t="str">
        <f t="array" ref="B44">_xll.qlConvertibleFloatingRateBond(B24,B26,B29,B30,B13,B31,0,"Act/360",B34,B35,"0D","Target",,,B27:B28)</f>
        <v>欣[test_convertiblebonds.xlsx]Sheet1!R44C2ConvertibleFloatingRateBond,A</v>
      </c>
    </row>
    <row r="46" spans="1:7" ht="15">
      <c r="A46" s="4" t="s">
        <v>34</v>
      </c>
    </row>
    <row r="47" spans="1:7">
      <c r="A47" t="s">
        <v>24</v>
      </c>
      <c r="B47" s="2" t="str">
        <f>B9</f>
        <v>欣[test_convertiblebonds.xlsx]Sheet1!R9C2GeneralizedBlackScholesProcess,A</v>
      </c>
      <c r="G47" t="s">
        <v>25</v>
      </c>
    </row>
    <row r="48" spans="1:7">
      <c r="A48" t="s">
        <v>26</v>
      </c>
      <c r="B48" s="2" t="s">
        <v>35</v>
      </c>
      <c r="G48" t="s">
        <v>27</v>
      </c>
    </row>
    <row r="49" spans="1:7">
      <c r="A49" t="s">
        <v>28</v>
      </c>
      <c r="B49" s="2">
        <v>100</v>
      </c>
      <c r="G49" t="s">
        <v>29</v>
      </c>
    </row>
    <row r="50" spans="1:7">
      <c r="A50" t="s">
        <v>30</v>
      </c>
      <c r="B50" s="2">
        <v>0</v>
      </c>
      <c r="G50" t="s">
        <v>31</v>
      </c>
    </row>
    <row r="51" spans="1:7">
      <c r="A51" t="s">
        <v>32</v>
      </c>
      <c r="G51" t="s">
        <v>33</v>
      </c>
    </row>
    <row r="52" spans="1:7" ht="15">
      <c r="A52" s="4" t="s">
        <v>36</v>
      </c>
      <c r="B52" s="2" t="str">
        <f t="array" ref="B52">_xll.qlBinomialConvertibleEngine(B47,B48,B49,B50)</f>
        <v>欣[test_convertiblebonds.xlsx]Sheet1!R52C2BinomialCRRConvertibleEngine,A</v>
      </c>
    </row>
    <row r="54" spans="1:7" ht="15">
      <c r="A54" s="4" t="s">
        <v>38</v>
      </c>
    </row>
    <row r="55" spans="1:7">
      <c r="A55" t="s">
        <v>41</v>
      </c>
      <c r="B55" s="6">
        <f t="array" ref="B55">_xll.qlInstrumentNPV(B37,_xll.qlInstrumentSetPricingEngine(B37,$B$52))</f>
        <v>11081.337113450401</v>
      </c>
    </row>
    <row r="56" spans="1:7">
      <c r="A56" t="s">
        <v>42</v>
      </c>
      <c r="B56" s="6">
        <f t="array" ref="B56">_xll.qlInstrumentNPV(B38,_xll.qlInstrumentSetPricingEngine(B38,$B$52))</f>
        <v>10000</v>
      </c>
    </row>
    <row r="57" spans="1:7">
      <c r="A57" t="s">
        <v>43</v>
      </c>
      <c r="B57" s="6">
        <f t="array" ref="B57">_xll.qlInstrumentNPV(B40,_xll.qlInstrumentSetPricingEngine(B40,$B$52))</f>
        <v>11101.465444821617</v>
      </c>
    </row>
    <row r="58" spans="1:7">
      <c r="A58" t="s">
        <v>44</v>
      </c>
      <c r="B58" s="6">
        <f t="array" ref="B58">_xll.qlInstrumentNPV(B41,_xll.qlInstrumentSetPricingEngine(B41,$B$52))</f>
        <v>10000</v>
      </c>
    </row>
    <row r="59" spans="1:7">
      <c r="A59" t="s">
        <v>47</v>
      </c>
      <c r="B59" s="6">
        <f t="array" ref="B59">_xll.qlInstrumentNPV(B43,_xll.qlInstrumentSetPricingEngine(B43,$B$52))</f>
        <v>11102.529015531909</v>
      </c>
    </row>
    <row r="60" spans="1:7">
      <c r="A60" t="s">
        <v>48</v>
      </c>
      <c r="B60" s="6">
        <f t="array" ref="B60">_xll.qlInstrumentNPV(B44,_xll.qlInstrumentSetPricingEngine(B44,$B$52))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2026-08-29T06:47:45Z</dcterms:created>
  <dcterms:modified xsi:type="dcterms:W3CDTF">2026-09-14T15:19:10Z</dcterms:modified>
</cp:coreProperties>
</file>