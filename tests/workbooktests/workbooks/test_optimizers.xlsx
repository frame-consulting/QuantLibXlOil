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F13DB856-4E74-45C0-8CA1-C37D63A2176F}" xr6:coauthVersionLast="47" xr6:coauthVersionMax="47" xr10:uidLastSave="{00000000-0000-0000-0000-000000000000}"/>
  <bookViews>
    <workbookView xWindow="-120" yWindow="-120" windowWidth="29040" windowHeight="15720" xr2:uid="{E76B3670-D287-482D-903A-DB7A1E5EF242}"/>
  </bookViews>
  <sheets>
    <sheet name="Constraints" sheetId="1" r:id="rId1"/>
    <sheet name="EndCriter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 a="1"/>
  <c r="B33" i="2" a="1"/>
  <c r="B32" i="2" a="1"/>
  <c r="B30" i="2" a="1"/>
  <c r="B31" i="2" a="1"/>
  <c r="B22" i="2" a="1"/>
  <c r="B21" i="2" a="1"/>
  <c r="B10" i="1" a="1"/>
  <c r="B3" i="1" a="1"/>
  <c r="B2" i="1" a="1"/>
  <c r="B12" i="1" a="1"/>
  <c r="B7" i="2" l="1"/>
  <c r="B33" i="2"/>
  <c r="B32" i="2"/>
  <c r="B30" i="2"/>
  <c r="B31" i="2"/>
  <c r="B22" i="2"/>
  <c r="B21" i="2"/>
  <c r="B12" i="1"/>
  <c r="B2" i="1"/>
  <c r="B3" i="1"/>
  <c r="B10" i="1"/>
  <c r="B10" i="2" a="1"/>
  <c r="B14" i="2" a="1"/>
  <c r="B15" i="2" a="1"/>
  <c r="B12" i="2" a="1"/>
  <c r="B11" i="2" a="1"/>
  <c r="B9" i="2" a="1"/>
  <c r="B13" i="2" a="1"/>
  <c r="B11" i="1" a="1"/>
  <c r="B13" i="2" l="1"/>
  <c r="B9" i="2"/>
  <c r="B11" i="2"/>
  <c r="B12" i="2"/>
  <c r="B15" i="2"/>
  <c r="B14" i="2"/>
  <c r="B10" i="2"/>
  <c r="B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<sst xmlns="http://schemas.openxmlformats.org/spreadsheetml/2006/main" count="46" uniqueCount="43">
  <si>
    <t>qlNoConstraint</t>
  </si>
  <si>
    <t>qlPositiveConstraint</t>
  </si>
  <si>
    <t>Lower boundary</t>
  </si>
  <si>
    <t>Upper boundary</t>
  </si>
  <si>
    <t>    max_iterations: int,</t>
  </si>
  <si>
    <t>    max_stationary_state_iterations: int,</t>
  </si>
  <si>
    <t>    root_epsilon: float,</t>
  </si>
  <si>
    <t>    function_epsilon: float,</t>
  </si>
  <si>
    <t>    gradient_norm_epsilon: float,</t>
  </si>
  <si>
    <t>max_iterations</t>
  </si>
  <si>
    <t>max_stationary_state_iterations</t>
  </si>
  <si>
    <t>root_epsilon</t>
  </si>
  <si>
    <t>function_epsilon</t>
  </si>
  <si>
    <t>gradient_norm_epsilon</t>
  </si>
  <si>
    <t>qlEndCriteria</t>
  </si>
  <si>
    <t>NO_CRITERIA</t>
  </si>
  <si>
    <t>MAX_ITERATIONS</t>
  </si>
  <si>
    <t>STATIONARY_POINT</t>
  </si>
  <si>
    <t>STATIONARY_FUNCTION_VALUE</t>
  </si>
  <si>
    <t>STATIONARY_FUNCTION_ACCURACY</t>
  </si>
  <si>
    <t>ZERO_GRADIENT_NORM</t>
  </si>
  <si>
    <t>FUNCTION_EPSILON_TOO_SMALL</t>
  </si>
  <si>
    <t>EndCriteriaType</t>
  </si>
  <si>
    <t>qlBoundaryConstraint</t>
  </si>
  <si>
    <t>qlCompositeConstraint</t>
  </si>
  <si>
    <t>qlNonhomogeneousBoundaryConstraint</t>
  </si>
  <si>
    <t>qlEndCriteriaSucceded</t>
  </si>
  <si>
    <t xml:space="preserve">    epsfcn: float = 1.0e-8,</t>
  </si>
  <si>
    <t xml:space="preserve">    xtol: float = 1.0e-8,</t>
  </si>
  <si>
    <t xml:space="preserve">    gtol: float = 1.0e-8,</t>
  </si>
  <si>
    <t xml:space="preserve">    use_cost_functions_jacobian: bool = False,</t>
  </si>
  <si>
    <t>epsfcn</t>
  </si>
  <si>
    <t>xtol</t>
  </si>
  <si>
    <t>gtol</t>
  </si>
  <si>
    <t>use_cost_functions_jacobian</t>
  </si>
  <si>
    <t>qlLevenbergMarquardt</t>
  </si>
  <si>
    <t>lower_bound</t>
  </si>
  <si>
    <t>upper_bound</t>
  </si>
  <si>
    <t>memory</t>
  </si>
  <si>
    <t>pg_tol</t>
  </si>
  <si>
    <t>f_tol</t>
  </si>
  <si>
    <t>qlLBFGSB</t>
  </si>
  <si>
    <t>qlLBFGSBBounded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</si>
</sst>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11" fontId="0" fillId="0" borderId="4" xfId="0" applyNumberFormat="1" applyBorder="1" applyAlignment="1">
      <alignment horizontal="left"/>
    </xf>
    <xf numFmtId="0" fontId="1" fillId="0" borderId="3" xfId="0" applyFont="1" applyBorder="1"/>
    <xf numFmtId="0" fontId="1" fillId="0" borderId="5" xfId="0" applyFont="1" applyBorder="1"/>
    <xf numFmtId="0" fontId="0" fillId="0" borderId="6" xfId="0" applyBorder="1" applyAlignment="1">
      <alignment horizontal="left"/>
    </xf>
    <xf numFmtId="11" fontId="0" fillId="0" borderId="2" xfId="0" applyNumberFormat="1" applyBorder="1" applyAlignment="1">
      <alignment horizontal="left"/>
    </xf>
    <xf numFmtId="0" fontId="0" fillId="0" borderId="5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04EB-76EE-4F21-BB1B-33964149D1F3}">
  <dimension ref="A2:B12"/>
  <sheetViews>
    <sheetView tabSelected="1" workbookViewId="0"/>
  </sheetViews>
  <sheetFormatPr baseColWidth="10" defaultColWidth="9.140625" defaultRowHeight="15" x14ac:dyDescent="0.25"/>
  <cols>
    <col min="1" max="1" width="36.28515625" bestFit="1" customWidth="1"/>
    <col min="2" max="2" width="38.5703125" bestFit="1" customWidth="1"/>
  </cols>
  <sheetData>
    <row r="2" spans="1:2" x14ac:dyDescent="0.25">
      <c r="A2" t="s">
        <v>0</v>
      </c>
      <c r="B2" t="str" cm="1">
        <f t="array" ref="B2">_xll.qlNoConstraint()</f>
        <v>欣[test_optimizers.xlsx]Constraints!R2C2NoConstraint,A</v>
      </c>
    </row>
    <row r="3" spans="1:2" x14ac:dyDescent="0.25">
      <c r="A3" t="s">
        <v>1</v>
      </c>
      <c r="B3" t="str" cm="1">
        <f t="array" ref="B3">_xll.qlPositiveConstraint()</f>
        <v>欣[test_optimizers.xlsx]Constraints!R3C2PositiveConstraint,A</v>
      </c>
    </row>
    <row r="5" spans="1:2" x14ac:dyDescent="0.25">
      <c r="A5" t="s">
        <v>2</v>
      </c>
      <c r="B5" t="s">
        <v>3</v>
      </c>
    </row>
    <row r="6" spans="1:2" x14ac:dyDescent="0.25">
      <c r="A6">
        <v>1</v>
      </c>
      <c r="B6">
        <v>3</v>
      </c>
    </row>
    <row r="7" spans="1:2" x14ac:dyDescent="0.25">
      <c r="A7">
        <v>1</v>
      </c>
      <c r="B7">
        <v>3</v>
      </c>
    </row>
    <row r="8" spans="1:2" x14ac:dyDescent="0.25">
      <c r="A8">
        <v>1</v>
      </c>
      <c r="B8">
        <v>3</v>
      </c>
    </row>
    <row r="10" spans="1:2" x14ac:dyDescent="0.25">
      <c r="A10" t="s">
        <v>23</v>
      </c>
      <c r="B10" t="str" cm="1">
        <f t="array" ref="B10">_xll.qlBoundaryConstraint(A6,B6)</f>
        <v>欣[test_optimizers.xlsx]Constraints!R10C2BoundaryConstraint,A</v>
      </c>
    </row>
    <row r="11" spans="1:2" x14ac:dyDescent="0.25">
      <c r="A11" t="s">
        <v>24</v>
      </c>
      <c r="B11" t="str" cm="1">
        <f t="array" ref="B11">_xll.qlCompositeConstraint(B3,B10)</f>
        <v>欣[test_optimizers.xlsx]Constraints!R11C2CompositeConstraint,A</v>
      </c>
    </row>
    <row r="12" spans="1:2" x14ac:dyDescent="0.25">
      <c r="A12" t="s">
        <v>25</v>
      </c>
      <c r="B12" t="str" cm="1">
        <f t="array" ref="B12">_xll.qlNonhomogeneousBoundaryConstraint(A6:A8,B6:B8)</f>
        <v>欣[test_optimizers.xlsx]Constraints!R12C2NonhomogeneousBoundaryConstraint,A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9001-4C2C-46EE-A1BD-66EDDB727756}">
  <dimension ref="A2:C33"/>
  <sheetViews>
    <sheetView workbookViewId="0"/>
  </sheetViews>
  <sheetFormatPr baseColWidth="10" defaultColWidth="9.140625" defaultRowHeight="15" x14ac:dyDescent="0.25"/>
  <cols>
    <col min="1" max="1" width="35.28515625" customWidth="1"/>
    <col min="2" max="2" width="58.28515625" style="1" bestFit="1" customWidth="1"/>
  </cols>
  <sheetData>
    <row r="2" spans="1:3" x14ac:dyDescent="0.25">
      <c r="A2" s="2" t="s">
        <v>9</v>
      </c>
      <c r="B2" s="3">
        <v>100</v>
      </c>
      <c r="C2" t="s">
        <v>4</v>
      </c>
    </row>
    <row r="3" spans="1:3" x14ac:dyDescent="0.25">
      <c r="A3" s="4" t="s">
        <v>10</v>
      </c>
      <c r="B3" s="5">
        <v>10</v>
      </c>
      <c r="C3" t="s">
        <v>5</v>
      </c>
    </row>
    <row r="4" spans="1:3" x14ac:dyDescent="0.25">
      <c r="A4" s="4" t="s">
        <v>11</v>
      </c>
      <c r="B4" s="6">
        <v>1E-4</v>
      </c>
      <c r="C4" t="s">
        <v>6</v>
      </c>
    </row>
    <row r="5" spans="1:3" x14ac:dyDescent="0.25">
      <c r="A5" s="4" t="s">
        <v>12</v>
      </c>
      <c r="B5" s="6">
        <v>1.0000000000000001E-5</v>
      </c>
      <c r="C5" t="s">
        <v>7</v>
      </c>
    </row>
    <row r="6" spans="1:3" x14ac:dyDescent="0.25">
      <c r="A6" s="4" t="s">
        <v>13</v>
      </c>
      <c r="B6" s="6">
        <v>9.9999999999999995E-7</v>
      </c>
      <c r="C6" t="s">
        <v>8</v>
      </c>
    </row>
    <row r="7" spans="1:3" x14ac:dyDescent="0.25">
      <c r="A7" s="11" t="s">
        <v>14</v>
      </c>
      <c r="B7" s="9" t="str" cm="1">
        <f t="array" ref="B7">_xll.qlEndCriteria(B2,B3,B4,B5,B6)</f>
        <v>欣[test_optimizers.xlsx]EndCriteria!R7C2EndCriteria,A</v>
      </c>
    </row>
    <row r="8" spans="1:3" x14ac:dyDescent="0.25">
      <c r="A8" s="2" t="s">
        <v>22</v>
      </c>
      <c r="B8" s="3" t="s">
        <v>26</v>
      </c>
    </row>
    <row r="9" spans="1:3" x14ac:dyDescent="0.25">
      <c r="A9" s="4" t="s">
        <v>15</v>
      </c>
      <c r="B9" s="5" t="b" cm="1">
        <f t="array" ref="B9">_xll.qlEndCriteriaSucceded($B$7,A9)</f>
        <v>0</v>
      </c>
    </row>
    <row r="10" spans="1:3" x14ac:dyDescent="0.25">
      <c r="A10" s="4" t="s">
        <v>16</v>
      </c>
      <c r="B10" s="5" t="b" cm="1">
        <f t="array" ref="B10">_xll.qlEndCriteriaSucceded($B$7,A10)</f>
        <v>0</v>
      </c>
    </row>
    <row r="11" spans="1:3" x14ac:dyDescent="0.25">
      <c r="A11" s="4" t="s">
        <v>17</v>
      </c>
      <c r="B11" s="5" t="b" cm="1">
        <f t="array" ref="B11">_xll.qlEndCriteriaSucceded($B$7,A11)</f>
        <v>1</v>
      </c>
    </row>
    <row r="12" spans="1:3" x14ac:dyDescent="0.25">
      <c r="A12" s="4" t="s">
        <v>18</v>
      </c>
      <c r="B12" s="5" t="b" cm="1">
        <f t="array" ref="B12">_xll.qlEndCriteriaSucceded($B$7,A12)</f>
        <v>1</v>
      </c>
    </row>
    <row r="13" spans="1:3" x14ac:dyDescent="0.25">
      <c r="A13" s="4" t="s">
        <v>19</v>
      </c>
      <c r="B13" s="5" t="b" cm="1">
        <f t="array" ref="B13">_xll.qlEndCriteriaSucceded($B$7,A13)</f>
        <v>1</v>
      </c>
    </row>
    <row r="14" spans="1:3" x14ac:dyDescent="0.25">
      <c r="A14" s="4" t="s">
        <v>20</v>
      </c>
      <c r="B14" s="5" t="b" cm="1">
        <f t="array" ref="B14">_xll.qlEndCriteriaSucceded($B$7,A14)</f>
        <v>0</v>
      </c>
    </row>
    <row r="15" spans="1:3" x14ac:dyDescent="0.25">
      <c r="A15" s="11" t="s">
        <v>21</v>
      </c>
      <c r="B15" s="9" t="b" cm="1">
        <f t="array" ref="B15">_xll.qlEndCriteriaSucceded($B$7,A15)</f>
        <v>0</v>
      </c>
    </row>
    <row r="17" spans="1:3" x14ac:dyDescent="0.25">
      <c r="A17" s="2" t="s">
        <v>31</v>
      </c>
      <c r="B17" s="10">
        <v>9.9999999999999995E-7</v>
      </c>
      <c r="C17" t="s">
        <v>27</v>
      </c>
    </row>
    <row r="18" spans="1:3" x14ac:dyDescent="0.25">
      <c r="A18" s="4" t="s">
        <v>32</v>
      </c>
      <c r="B18" s="6">
        <v>9.9999999999999995E-7</v>
      </c>
      <c r="C18" t="s">
        <v>28</v>
      </c>
    </row>
    <row r="19" spans="1:3" x14ac:dyDescent="0.25">
      <c r="A19" s="4" t="s">
        <v>33</v>
      </c>
      <c r="B19" s="6">
        <v>9.9999999999999995E-7</v>
      </c>
      <c r="C19" t="s">
        <v>29</v>
      </c>
    </row>
    <row r="20" spans="1:3" x14ac:dyDescent="0.25">
      <c r="A20" s="4" t="s">
        <v>34</v>
      </c>
      <c r="B20" s="5" t="b">
        <v>1</v>
      </c>
      <c r="C20" t="s">
        <v>30</v>
      </c>
    </row>
    <row r="21" spans="1:3" x14ac:dyDescent="0.25">
      <c r="A21" s="7" t="s">
        <v>35</v>
      </c>
      <c r="B21" s="5" t="str" cm="1">
        <f t="array" ref="B21">_xll.qlLevenbergMarquardt()</f>
        <v>欣[test_optimizers.xlsx]EndCriteria!R21C2LevenbergMarquardt,A</v>
      </c>
    </row>
    <row r="22" spans="1:3" x14ac:dyDescent="0.25">
      <c r="A22" s="8" t="s">
        <v>35</v>
      </c>
      <c r="B22" s="9" t="str" cm="1">
        <f t="array" ref="B22">_xll.qlLevenbergMarquardt(B17,B18,B19,B20)</f>
        <v>欣[test_optimizers.xlsx]EndCriteria!R22C2LevenbergMarquardt,A</v>
      </c>
    </row>
    <row r="23" spans="1:3" x14ac:dyDescent="0.25">
      <c r="A23" s="2" t="s">
        <v>36</v>
      </c>
      <c r="B23" s="3">
        <v>-1</v>
      </c>
    </row>
    <row r="24" spans="1:3" x14ac:dyDescent="0.25">
      <c r="A24" s="4"/>
      <c r="B24" s="5">
        <v>0</v>
      </c>
    </row>
    <row r="25" spans="1:3" x14ac:dyDescent="0.25">
      <c r="A25" s="4" t="s">
        <v>37</v>
      </c>
      <c r="B25" s="5">
        <v>1</v>
      </c>
    </row>
    <row r="26" spans="1:3" x14ac:dyDescent="0.25">
      <c r="A26" s="4"/>
      <c r="B26" s="5">
        <v>2</v>
      </c>
    </row>
    <row r="27" spans="1:3" x14ac:dyDescent="0.25">
      <c r="A27" s="4" t="s">
        <v>38</v>
      </c>
      <c r="B27" s="5">
        <v>10</v>
      </c>
    </row>
    <row r="28" spans="1:3" x14ac:dyDescent="0.25">
      <c r="A28" s="4" t="s">
        <v>39</v>
      </c>
      <c r="B28" s="6">
        <v>1E-8</v>
      </c>
    </row>
    <row r="29" spans="1:3" x14ac:dyDescent="0.25">
      <c r="A29" s="4" t="s">
        <v>40</v>
      </c>
      <c r="B29" s="6">
        <v>2.2204460492503102E-9</v>
      </c>
    </row>
    <row r="30" spans="1:3" x14ac:dyDescent="0.25">
      <c r="A30" s="7" t="s">
        <v>41</v>
      </c>
      <c r="B30" s="5" t="str" cm="1">
        <f t="array" ref="B30">_xll.qlLBFGSB()</f>
        <v>欣[test_optimizers.xlsx]EndCriteria!R30C2LBFGSB,A</v>
      </c>
    </row>
    <row r="31" spans="1:3" x14ac:dyDescent="0.25">
      <c r="A31" s="7" t="s">
        <v>41</v>
      </c>
      <c r="B31" s="5" t="str" cm="1">
        <f t="array" ref="B31">_xll.qlLBFGSB(B27,B28,B29)</f>
        <v>欣[test_optimizers.xlsx]EndCriteria!R31C2LBFGSB,A</v>
      </c>
    </row>
    <row r="32" spans="1:3" x14ac:dyDescent="0.25">
      <c r="A32" s="7" t="s">
        <v>42</v>
      </c>
      <c r="B32" s="5" t="str" cm="1">
        <f t="array" ref="B32">_xll.qlLBFGSBBounded(B23:B24,B25:B26)</f>
        <v>欣[test_optimizers.xlsx]EndCriteria!R32C2LBFGSB,A</v>
      </c>
    </row>
    <row r="33" spans="1:2" x14ac:dyDescent="0.25">
      <c r="A33" s="8" t="s">
        <v>42</v>
      </c>
      <c r="B33" s="9" t="str" cm="1">
        <f t="array" ref="B33">_xll.qlLBFGSBBounded(B23:B24,B25:B26,B27,B28,B29)</f>
        <v>欣[test_optimizers.xlsx]EndCriteria!R33C2LBFGSB,A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Constraints</vt:lpstr>
      <vt:lpstr>EndCriteria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2026-06-06T16:24:43Z</dcterms:created>
  <dcterms:modified xsi:type="dcterms:W3CDTF">2026-10-19T13:24:43Z</dcterms:modified>
</cp:coreProperties>
</file>