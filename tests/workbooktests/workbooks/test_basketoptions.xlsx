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F70D867B-26B1-4FD6-B2EE-AECAE3F6772C}" xr6:coauthVersionLast="47" xr6:coauthVersionMax="47" xr10:uidLastSave="{00000000-0000-0000-0000-000000000000}"/>
  <bookViews>
    <workbookView xWindow="-4560" yWindow="-21720" windowWidth="38640" windowHeight="21120" xr2:uid="{4C44E2F9-E772-4076-A910-7725AADFF688}"/>
  </bookViews>
  <sheets>
    <sheet name="Basket option" sheetId="1" r:id="rId1"/>
    <sheet name="Everest_Himalaya o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3" i="2" l="1"/>
  <c r="E10" i="2"/>
  <c r="F9" i="2"/>
  <c r="B44" i="1"/>
  <c r="E10" i="1"/>
  <c r="F9" i="1"/>
  <c r="B77" i="1" a="1"/>
  <c r="B67" i="1" a="1"/>
  <c r="B66" i="1" a="1"/>
  <c r="B2" i="2" a="1"/>
  <c r="B21" i="1" a="1"/>
  <c r="B2" i="1" a="1"/>
  <c r="B77" i="1" l="1"/>
  <c r="B67" i="1"/>
  <c r="B66" i="1"/>
  <c r="B2" i="2"/>
  <c r="B2" i="1"/>
  <c r="B21" i="1"/>
  <c r="B4" i="1"/>
  <c r="B6" i="1" a="1"/>
  <c r="B5" i="1"/>
  <c r="B15" i="1" a="1"/>
  <c r="B5" i="2"/>
  <c r="B6" i="2" a="1"/>
  <c r="B4" i="2"/>
  <c r="B6" i="2" l="1"/>
  <c r="B15" i="1"/>
  <c r="B6" i="1"/>
  <c r="B20" i="1" a="1"/>
  <c r="B17" i="1" a="1"/>
  <c r="B9" i="2" a="1"/>
  <c r="B10" i="2" a="1"/>
  <c r="B19" i="1" a="1"/>
  <c r="B21" i="2" a="1"/>
  <c r="B9" i="1" a="1"/>
  <c r="B10" i="1" a="1"/>
  <c r="B16" i="1" a="1"/>
  <c r="B14" i="2" a="1"/>
  <c r="B25" i="1" a="1"/>
  <c r="B14" i="2" l="1"/>
  <c r="B10" i="2"/>
  <c r="B9" i="2"/>
  <c r="B21" i="2"/>
  <c r="B16" i="1"/>
  <c r="B10" i="1"/>
  <c r="B9" i="1"/>
  <c r="B17" i="1"/>
  <c r="B20" i="1"/>
  <c r="B19" i="1"/>
  <c r="B25" i="1"/>
  <c r="B30" i="1" a="1"/>
  <c r="B37" i="1" a="1"/>
  <c r="B60" i="1" a="1"/>
  <c r="B62" i="1" a="1"/>
  <c r="B36" i="1" a="1"/>
  <c r="B22" i="2" a="1"/>
  <c r="B38" i="1" a="1"/>
  <c r="B29" i="1" a="1"/>
  <c r="B31" i="1" a="1"/>
  <c r="B61" i="1" a="1"/>
  <c r="B12" i="2" a="1"/>
  <c r="B35" i="1" a="1"/>
  <c r="B19" i="2" a="1"/>
  <c r="B32" i="1" a="1"/>
  <c r="B19" i="2" l="1"/>
  <c r="B22" i="2"/>
  <c r="B12" i="2"/>
  <c r="B37" i="1"/>
  <c r="B62" i="1"/>
  <c r="B61" i="1"/>
  <c r="B60" i="1"/>
  <c r="B31" i="1"/>
  <c r="B35" i="1"/>
  <c r="B29" i="1"/>
  <c r="B36" i="1"/>
  <c r="B30" i="1"/>
  <c r="B38" i="1"/>
  <c r="B32" i="1"/>
  <c r="B28" i="2" a="1"/>
  <c r="B71" i="1" a="1"/>
  <c r="B70" i="1" a="1"/>
  <c r="B76" i="1" a="1"/>
  <c r="B35" i="2" a="1"/>
  <c r="B72" i="1" a="1"/>
  <c r="B34" i="2" a="1"/>
  <c r="B76" i="1" l="1"/>
  <c r="B28" i="2"/>
  <c r="B35" i="2"/>
  <c r="B34" i="2"/>
  <c r="B70" i="1"/>
  <c r="B71" i="1"/>
  <c r="B72" i="1"/>
  <c r="B38" i="2" a="1"/>
  <c r="B39" i="2" a="1"/>
  <c r="B63" i="1" a="1"/>
  <c r="B39" i="2" l="1"/>
  <c r="B38" i="2"/>
  <c r="B63" i="1"/>
  <c r="B65" i="1" a="1"/>
  <c r="B64" i="1" a="1"/>
  <c r="B12" i="1" a="1"/>
  <c r="B73" i="1" a="1"/>
  <c r="B73" i="1" l="1"/>
  <c r="B12" i="1"/>
  <c r="B64" i="1"/>
  <c r="B65" i="1"/>
  <c r="B75" i="1" a="1"/>
  <c r="B46" i="1" a="1"/>
  <c r="B45" i="1" a="1"/>
  <c r="B74" i="1" a="1"/>
  <c r="B74" i="1" l="1"/>
  <c r="B45" i="1"/>
  <c r="B46" i="1"/>
  <c r="B75" i="1"/>
  <c r="B57" i="1" a="1"/>
  <c r="B55" i="1" a="1"/>
  <c r="B58" i="1" a="1"/>
  <c r="B56" i="1" a="1"/>
  <c r="B50" i="1" a="1"/>
  <c r="B52" i="1" a="1"/>
  <c r="B51" i="1" a="1"/>
  <c r="B49" i="1" a="1"/>
  <c r="B49" i="1" l="1"/>
  <c r="B51" i="1"/>
  <c r="B52" i="1"/>
  <c r="B50" i="1"/>
  <c r="B56" i="1"/>
  <c r="B58" i="1"/>
  <c r="B55" i="1"/>
  <c r="B5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<sst xmlns="http://schemas.openxmlformats.org/spreadsheetml/2006/main" count="91" uniqueCount="52">
  <si>
    <t>Today</t>
  </si>
  <si>
    <t>Set evaluation date</t>
  </si>
  <si>
    <t>Discount curve</t>
  </si>
  <si>
    <t>Dividend curve</t>
  </si>
  <si>
    <t>Spot</t>
  </si>
  <si>
    <t>Volatility</t>
  </si>
  <si>
    <t>Call payoff</t>
  </si>
  <si>
    <t>qlMinBasketPayoff</t>
  </si>
  <si>
    <t>qlMaxBasketPayoff</t>
  </si>
  <si>
    <t>qlSpreadBasketPayoff</t>
  </si>
  <si>
    <t>Weights</t>
  </si>
  <si>
    <t>qlAverageBasketPayoff</t>
  </si>
  <si>
    <t>Min basket</t>
  </si>
  <si>
    <t>Max basket</t>
  </si>
  <si>
    <t>Spread basket</t>
  </si>
  <si>
    <t>Average basket</t>
  </si>
  <si>
    <t>European exercise</t>
  </si>
  <si>
    <t>American exercise</t>
  </si>
  <si>
    <t>European basket options</t>
  </si>
  <si>
    <t>American basket options</t>
  </si>
  <si>
    <t>Process 1</t>
  </si>
  <si>
    <t>Process 2</t>
  </si>
  <si>
    <t>Correlation</t>
  </si>
  <si>
    <t>Correlation matrix</t>
  </si>
  <si>
    <t>qlStochasticProcessArray</t>
  </si>
  <si>
    <t>MC engines</t>
  </si>
  <si>
    <t>Traits</t>
  </si>
  <si>
    <t>LD</t>
  </si>
  <si>
    <t>Time steps</t>
  </si>
  <si>
    <t>Required samples</t>
  </si>
  <si>
    <t>qlMCEuropeanBasketEngine</t>
  </si>
  <si>
    <t>qlMCAmericanBasketEngine</t>
  </si>
  <si>
    <t>Npv</t>
  </si>
  <si>
    <t>MC Npv European</t>
  </si>
  <si>
    <t>qlStulzEngine</t>
  </si>
  <si>
    <t>qlBjerksundStenslandSpreadEngine</t>
  </si>
  <si>
    <t>qlOperatorSplittingSpreadEngine</t>
  </si>
  <si>
    <t>qlChoiBasketEngine</t>
  </si>
  <si>
    <t>qlDengLiZhouBasketEngine</t>
  </si>
  <si>
    <t>qlFdndimBlackScholesVanillaEngine</t>
  </si>
  <si>
    <t>Notional</t>
  </si>
  <si>
    <t>Guarantee</t>
  </si>
  <si>
    <t>qlEverestOption</t>
  </si>
  <si>
    <t>Fixing schedule</t>
  </si>
  <si>
    <t>Strike</t>
  </si>
  <si>
    <t>qlHimalayaOption</t>
  </si>
  <si>
    <t>qlMCEverestEngine</t>
  </si>
  <si>
    <t>qlMCHimalayaEngine</t>
  </si>
  <si>
    <t>Everest option</t>
  </si>
  <si>
    <t>Himalaya option</t>
  </si>
  <si>
    <t>qlPearsonSpreadEngine</t>
  </si>
  <si>
    <t>qlGaussianCopulaSpreadEngine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</si>
</sst>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2" fontId="0" fillId="0" borderId="0" xfId="0" applyNumberFormat="1" applyAlignment="1">
      <alignment horizontal="right"/>
    </xf>
    <xf numFmtId="2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1C03-BB1F-43F7-BF9C-B0202704E6BE}">
  <dimension ref="A1:F77"/>
  <sheetViews>
    <sheetView tabSelected="1" workbookViewId="0"/>
  </sheetViews>
  <sheetFormatPr baseColWidth="10" defaultColWidth="9" defaultRowHeight="15" x14ac:dyDescent="0.25"/>
  <cols>
    <col min="1" max="1" width="38.5703125" customWidth="1"/>
    <col min="2" max="2" width="67.42578125" style="2" bestFit="1" customWidth="1"/>
    <col min="4" max="4" width="16.42578125" bestFit="1" customWidth="1"/>
  </cols>
  <sheetData>
    <row r="1" spans="1:6" x14ac:dyDescent="0.25">
      <c r="A1" t="s">
        <v>0</v>
      </c>
      <c r="B1" s="1">
        <v>46174</v>
      </c>
    </row>
    <row r="2" spans="1:6" x14ac:dyDescent="0.25">
      <c r="A2" t="s">
        <v>1</v>
      </c>
      <c r="B2" s="1">
        <f t="array" ref="B2">_xll.qlSettingsSetEvaluationDate(B1)</f>
        <v>46174</v>
      </c>
    </row>
    <row r="4" spans="1:6" x14ac:dyDescent="0.25">
      <c r="A4" t="s">
        <v>2</v>
      </c>
      <c r="B4" s="2" t="str">
        <f>_xll.qlFlatForward(B2,0.03,"actual365fixed")</f>
        <v>欣[test_basketoptions.xlsx]Basket option!R4C2YieldTermStructureHandle,A</v>
      </c>
    </row>
    <row r="5" spans="1:6" x14ac:dyDescent="0.25">
      <c r="A5" t="s">
        <v>3</v>
      </c>
      <c r="B5" s="2" t="str">
        <f>_xll.qlFlatForward(B2,0.01,"actual365fixed")</f>
        <v>欣[test_basketoptions.xlsx]Basket option!R5C2YieldTermStructureHandle,A</v>
      </c>
    </row>
    <row r="6" spans="1:6" x14ac:dyDescent="0.25">
      <c r="A6" t="s">
        <v>5</v>
      </c>
      <c r="B6" s="2" t="str">
        <f t="array" ref="B6">_xll.qlBlackConstantVol(B2,"NullCalendar",0.25,"Act/365")</f>
        <v>欣[test_basketoptions.xlsx]Basket option!R6C2BlackVolTermStructureHandle,A</v>
      </c>
    </row>
    <row r="7" spans="1:6" x14ac:dyDescent="0.25">
      <c r="A7" t="s">
        <v>4</v>
      </c>
      <c r="B7" s="2">
        <v>100</v>
      </c>
    </row>
    <row r="9" spans="1:6" x14ac:dyDescent="0.25">
      <c r="A9" t="s">
        <v>20</v>
      </c>
      <c r="B9" s="2" t="str">
        <f t="array" ref="B9">_xll.qlGeneralizedBlackScholesProcess(B7,B5,B4,B6)</f>
        <v>欣[test_basketoptions.xlsx]Basket option!R9C2GeneralizedBlackScholesProcess,A</v>
      </c>
      <c r="D9" t="s">
        <v>23</v>
      </c>
      <c r="E9">
        <v>1</v>
      </c>
      <c r="F9" s="5">
        <f>$B$11</f>
        <v>0.5</v>
      </c>
    </row>
    <row r="10" spans="1:6" x14ac:dyDescent="0.25">
      <c r="A10" t="s">
        <v>21</v>
      </c>
      <c r="B10" s="2" t="str">
        <f t="array" ref="B10">_xll.qlGeneralizedBlackScholesProcess(B7,B5,B4,B6)</f>
        <v>欣[test_basketoptions.xlsx]Basket option!R10C2GeneralizedBlackScholesProcess,A</v>
      </c>
      <c r="E10" s="5">
        <f>$B$11</f>
        <v>0.5</v>
      </c>
      <c r="F10">
        <v>1</v>
      </c>
    </row>
    <row r="11" spans="1:6" x14ac:dyDescent="0.25">
      <c r="A11" t="s">
        <v>22</v>
      </c>
      <c r="B11" s="4">
        <v>0.5</v>
      </c>
    </row>
    <row r="12" spans="1:6" x14ac:dyDescent="0.25">
      <c r="A12" t="s">
        <v>24</v>
      </c>
      <c r="B12" s="2" t="str">
        <f t="array" ref="B12">_xll.qlStochasticProcessArray(B9:B10,E9:F10)</f>
        <v>欣[test_basketoptions.xlsx]Basket option!R12C2StochasticProcessArray,A</v>
      </c>
    </row>
    <row r="15" spans="1:6" x14ac:dyDescent="0.25">
      <c r="A15" t="s">
        <v>6</v>
      </c>
      <c r="B15" s="2" t="str">
        <f t="array" ref="B15">_xll.qlPlainVanillaPayoff("Call",100,B2)</f>
        <v>欣[test_basketoptions.xlsx]Basket option!R15C2PlainVanillaPayoff,A</v>
      </c>
    </row>
    <row r="16" spans="1:6" x14ac:dyDescent="0.25">
      <c r="A16" t="s">
        <v>16</v>
      </c>
      <c r="B16" s="2" t="str">
        <f t="array" ref="B16">_xll.qlEuropeanExercise(B2+365)</f>
        <v>欣[test_basketoptions.xlsx]Basket option!R16C2EuropeanExercise,A</v>
      </c>
    </row>
    <row r="17" spans="1:2" x14ac:dyDescent="0.25">
      <c r="A17" t="s">
        <v>17</v>
      </c>
      <c r="B17" s="2" t="str">
        <f t="array" ref="B17">_xll.qlAmericanExercise(B2,B2+365)</f>
        <v>欣[test_basketoptions.xlsx]Basket option!R17C2AmericanExercise,A</v>
      </c>
    </row>
    <row r="19" spans="1:2" x14ac:dyDescent="0.25">
      <c r="A19" t="s">
        <v>7</v>
      </c>
      <c r="B19" s="2" t="str">
        <f t="array" ref="B19">_xll.qlMinBasketPayoff(B15)</f>
        <v>欣[test_basketoptions.xlsx]Basket option!R19C2MinBasketPayoff,A</v>
      </c>
    </row>
    <row r="20" spans="1:2" x14ac:dyDescent="0.25">
      <c r="A20" t="s">
        <v>8</v>
      </c>
      <c r="B20" s="2" t="str">
        <f t="array" ref="B20">_xll.qlMaxBasketPayoff(B15)</f>
        <v>欣[test_basketoptions.xlsx]Basket option!R20C2MaxBasketPayoff,A</v>
      </c>
    </row>
    <row r="21" spans="1:2" x14ac:dyDescent="0.25">
      <c r="A21" t="s">
        <v>9</v>
      </c>
      <c r="B21" s="2" t="str">
        <f t="array" ref="B21">_xll.qlSpreadBasketPayoff(_xll.qlPlainVanillaPayoff("Call",1))</f>
        <v>欣[test_basketoptions.xlsx]Basket option!R21C2SpreadBasketPayoff,A</v>
      </c>
    </row>
    <row r="23" spans="1:2" x14ac:dyDescent="0.25">
      <c r="A23" t="s">
        <v>10</v>
      </c>
      <c r="B23" s="2">
        <v>0.5</v>
      </c>
    </row>
    <row r="24" spans="1:2" x14ac:dyDescent="0.25">
      <c r="B24" s="2">
        <v>0.5</v>
      </c>
    </row>
    <row r="25" spans="1:2" x14ac:dyDescent="0.25">
      <c r="A25" t="s">
        <v>11</v>
      </c>
      <c r="B25" s="2" t="str">
        <f t="array" ref="B25">_xll.qlAverageBasketPayoff(B15,B23:B24)</f>
        <v>欣[test_basketoptions.xlsx]Basket option!R25C2AverageBasketPayoff,A</v>
      </c>
    </row>
    <row r="28" spans="1:2" x14ac:dyDescent="0.25">
      <c r="A28" s="3" t="s">
        <v>18</v>
      </c>
    </row>
    <row r="29" spans="1:2" x14ac:dyDescent="0.25">
      <c r="A29" t="s">
        <v>12</v>
      </c>
      <c r="B29" s="2" t="str">
        <f t="array" ref="B29">_xll.qlBasketOption(B19,$B$16)</f>
        <v>欣[test_basketoptions.xlsx]Basket option!R29C2BasketOption,A</v>
      </c>
    </row>
    <row r="30" spans="1:2" x14ac:dyDescent="0.25">
      <c r="A30" t="s">
        <v>13</v>
      </c>
      <c r="B30" s="2" t="str">
        <f t="array" ref="B30">_xll.qlBasketOption(B20,$B$16)</f>
        <v>欣[test_basketoptions.xlsx]Basket option!R30C2BasketOption,A</v>
      </c>
    </row>
    <row r="31" spans="1:2" x14ac:dyDescent="0.25">
      <c r="A31" t="s">
        <v>14</v>
      </c>
      <c r="B31" s="2" t="str">
        <f t="array" ref="B31">_xll.qlBasketOption(B21,$B$16)</f>
        <v>欣[test_basketoptions.xlsx]Basket option!R31C2BasketOption,A</v>
      </c>
    </row>
    <row r="32" spans="1:2" x14ac:dyDescent="0.25">
      <c r="A32" t="s">
        <v>15</v>
      </c>
      <c r="B32" s="2" t="str">
        <f t="array" ref="B32">_xll.qlBasketOption(B25,$B$16)</f>
        <v>欣[test_basketoptions.xlsx]Basket option!R32C2BasketOption,A</v>
      </c>
    </row>
    <row r="34" spans="1:2" x14ac:dyDescent="0.25">
      <c r="A34" s="3" t="s">
        <v>19</v>
      </c>
    </row>
    <row r="35" spans="1:2" x14ac:dyDescent="0.25">
      <c r="A35" t="s">
        <v>12</v>
      </c>
      <c r="B35" s="2" t="str">
        <f t="array" ref="B35">_xll.qlBasketOption(B19,$B$17)</f>
        <v>欣[test_basketoptions.xlsx]Basket option!R35C2BasketOption,A</v>
      </c>
    </row>
    <row r="36" spans="1:2" x14ac:dyDescent="0.25">
      <c r="A36" t="s">
        <v>13</v>
      </c>
      <c r="B36" s="2" t="str">
        <f t="array" ref="B36">_xll.qlBasketOption(B20,$B$17)</f>
        <v>欣[test_basketoptions.xlsx]Basket option!R36C2BasketOption,A</v>
      </c>
    </row>
    <row r="37" spans="1:2" x14ac:dyDescent="0.25">
      <c r="A37" t="s">
        <v>14</v>
      </c>
      <c r="B37" s="2" t="str">
        <f t="array" ref="B37">_xll.qlBasketOption(B21,$B$17)</f>
        <v>欣[test_basketoptions.xlsx]Basket option!R37C2BasketOption,A</v>
      </c>
    </row>
    <row r="38" spans="1:2" x14ac:dyDescent="0.25">
      <c r="A38" t="s">
        <v>15</v>
      </c>
      <c r="B38" s="2" t="str">
        <f t="array" ref="B38">_xll.qlBasketOption(B25,$B$17)</f>
        <v>欣[test_basketoptions.xlsx]Basket option!R38C2BasketOption,A</v>
      </c>
    </row>
    <row r="41" spans="1:2" x14ac:dyDescent="0.25">
      <c r="A41" t="s">
        <v>25</v>
      </c>
    </row>
    <row r="42" spans="1:2" x14ac:dyDescent="0.25">
      <c r="A42" t="s">
        <v>26</v>
      </c>
      <c r="B42" s="2" t="s">
        <v>27</v>
      </c>
    </row>
    <row r="43" spans="1:2" x14ac:dyDescent="0.25">
      <c r="A43" t="s">
        <v>28</v>
      </c>
      <c r="B43" s="2">
        <v>100</v>
      </c>
    </row>
    <row r="44" spans="1:2" x14ac:dyDescent="0.25">
      <c r="A44" t="s">
        <v>29</v>
      </c>
      <c r="B44" s="2">
        <f>2^10</f>
        <v>1024</v>
      </c>
    </row>
    <row r="45" spans="1:2" x14ac:dyDescent="0.25">
      <c r="A45" s="3" t="s">
        <v>30</v>
      </c>
      <c r="B45" s="2" t="str">
        <f t="array" ref="B45">_xll.qlMCEuropeanBasketEngine(B12,B42,B43,,,,B44)</f>
        <v>欣[test_basketoptions.xlsx]Basket option!R45C2MCLDEuropeanBasketEngine,A</v>
      </c>
    </row>
    <row r="46" spans="1:2" x14ac:dyDescent="0.25">
      <c r="A46" s="3" t="s">
        <v>31</v>
      </c>
      <c r="B46" s="2" t="str">
        <f t="array" ref="B46">_xll.qlMCAmericanBasketEngine(B12,B42,B43,,,,B44)</f>
        <v>欣[test_basketoptions.xlsx]Basket option!R46C2MCLDAmericanBasketEngine,A</v>
      </c>
    </row>
    <row r="48" spans="1:2" x14ac:dyDescent="0.25">
      <c r="A48" s="3" t="s">
        <v>33</v>
      </c>
    </row>
    <row r="49" spans="1:2" x14ac:dyDescent="0.25">
      <c r="A49" t="s">
        <v>12</v>
      </c>
      <c r="B49" s="6">
        <f t="array" ref="B49">_xll.qlInstrumentNPV(B29,_xll.qlInstrumentSetPricingEngine(B29,$B$45))</f>
        <v>4.3923285237406091</v>
      </c>
    </row>
    <row r="50" spans="1:2" x14ac:dyDescent="0.25">
      <c r="A50" t="s">
        <v>13</v>
      </c>
      <c r="B50" s="6">
        <f t="array" ref="B50">_xll.qlInstrumentNPV(B30,_xll.qlInstrumentSetPricingEngine(B30,$B$45))</f>
        <v>16.6110762398371</v>
      </c>
    </row>
    <row r="51" spans="1:2" x14ac:dyDescent="0.25">
      <c r="A51" t="s">
        <v>14</v>
      </c>
      <c r="B51" s="6">
        <f t="array" ref="B51">_xll.qlInstrumentNPV(B31,_xll.qlInstrumentSetPricingEngine(B31,$B$45))</f>
        <v>9.2694522785816673</v>
      </c>
    </row>
    <row r="52" spans="1:2" x14ac:dyDescent="0.25">
      <c r="A52" t="s">
        <v>15</v>
      </c>
      <c r="B52" s="6">
        <f t="array" ref="B52">_xll.qlInstrumentNPV(B32,_xll.qlInstrumentSetPricingEngine(B32,$B$45))</f>
        <v>9.3615427541089815</v>
      </c>
    </row>
    <row r="54" spans="1:2" x14ac:dyDescent="0.25">
      <c r="A54" s="3" t="s">
        <v>33</v>
      </c>
    </row>
    <row r="55" spans="1:2" x14ac:dyDescent="0.25">
      <c r="A55" t="s">
        <v>12</v>
      </c>
      <c r="B55" s="6">
        <f t="array" ref="B55">_xll.qlInstrumentNPV(B35,_xll.qlInstrumentSetPricingEngine(B35,$B$46))</f>
        <v>5.8546994708816609</v>
      </c>
    </row>
    <row r="56" spans="1:2" x14ac:dyDescent="0.25">
      <c r="A56" t="s">
        <v>13</v>
      </c>
      <c r="B56" s="6">
        <f t="array" ref="B56">_xll.qlInstrumentNPV(B36,_xll.qlInstrumentSetPricingEngine(B36,$B$46))</f>
        <v>16.302281999965853</v>
      </c>
    </row>
    <row r="57" spans="1:2" x14ac:dyDescent="0.25">
      <c r="A57" t="s">
        <v>14</v>
      </c>
      <c r="B57" s="6">
        <f t="array" ref="B57">_xll.qlInstrumentNPV(B37,_xll.qlInstrumentSetPricingEngine(B37,$B$46))</f>
        <v>9.1238370383810157</v>
      </c>
    </row>
    <row r="58" spans="1:2" x14ac:dyDescent="0.25">
      <c r="A58" t="s">
        <v>15</v>
      </c>
      <c r="B58" s="6">
        <f t="array" ref="B58">_xll.qlInstrumentNPV(B38,_xll.qlInstrumentSetPricingEngine(B38,$B$46))</f>
        <v>9.3122353469188042</v>
      </c>
    </row>
    <row r="60" spans="1:2" x14ac:dyDescent="0.25">
      <c r="A60" s="3" t="s">
        <v>34</v>
      </c>
      <c r="B60" s="2" t="str">
        <f t="array" ref="B60">_xll.qlStulzEngine(B9,B10,B11)</f>
        <v>欣[test_basketoptions.xlsx]Basket option!R60C2StulzEngine,A</v>
      </c>
    </row>
    <row r="61" spans="1:2" x14ac:dyDescent="0.25">
      <c r="A61" s="3" t="s">
        <v>35</v>
      </c>
      <c r="B61" s="2" t="str">
        <f t="array" ref="B61">_xll.qlBjerksundStenslandSpreadEngine(B9,B10,B11)</f>
        <v>欣[test_basketoptions.xlsx]Basket option!R61C2BjerksundStenslandSpreadEngine,A</v>
      </c>
    </row>
    <row r="62" spans="1:2" x14ac:dyDescent="0.25">
      <c r="A62" s="3" t="s">
        <v>36</v>
      </c>
      <c r="B62" s="2" t="str">
        <f t="array" ref="B62">_xll.qlOperatorSplittingSpreadEngine(B9,B10,B11,"First")</f>
        <v>欣[test_basketoptions.xlsx]Basket option!R62C2OperatorSplittingSpreadEngine,A</v>
      </c>
    </row>
    <row r="63" spans="1:2" x14ac:dyDescent="0.25">
      <c r="A63" s="3" t="s">
        <v>37</v>
      </c>
      <c r="B63" s="2" t="str">
        <f t="array" ref="B63">_xll.qlChoiBasketEngine(B9:B10,E9:F10)</f>
        <v>欣[test_basketoptions.xlsx]Basket option!R63C2ChoiBasketEngine,A</v>
      </c>
    </row>
    <row r="64" spans="1:2" x14ac:dyDescent="0.25">
      <c r="A64" s="3" t="s">
        <v>38</v>
      </c>
      <c r="B64" s="2" t="str">
        <f t="array" ref="B64">_xll.qlDengLiZhouBasketEngine(B9:B10,E9:F10)</f>
        <v>欣[test_basketoptions.xlsx]Basket option!R64C2DengLiZhouBasketEngine,A</v>
      </c>
    </row>
    <row r="65" spans="1:2" x14ac:dyDescent="0.25">
      <c r="A65" s="3" t="s">
        <v>39</v>
      </c>
      <c r="B65" s="2" t="str">
        <f t="array" ref="B65">_xll.qlFdndimBlackScholesVanillaEngine(B9:B10,E9:F10,100)</f>
        <v>欣[test_basketoptions.xlsx]Basket option!R65C2FdndimBlackScholesVanillaEngine,A</v>
      </c>
    </row>
    <row r="66" spans="1:2" x14ac:dyDescent="0.25">
      <c r="A66" s="3" t="s">
        <v>50</v>
      </c>
      <c r="B66" s="2" t="str" cm="1">
        <f t="array" ref="B66">_xll.qlPearsonSpreadEngine(B9,B10,B11)</f>
        <v>欣[test_basketoptions.xlsx]Basket option!R66C2PearsonSpreadEngine,A</v>
      </c>
    </row>
    <row r="67" spans="1:2" x14ac:dyDescent="0.25">
      <c r="A67" s="3" t="s">
        <v>51</v>
      </c>
      <c r="B67" s="2" t="str" cm="1">
        <f t="array" ref="B67">_xll.qlGaussianCopulaSpreadEngine(B9,B10,B11)</f>
        <v>欣[test_basketoptions.xlsx]Basket option!R67C2GaussianCopulaSpreadEngine,A</v>
      </c>
    </row>
    <row r="69" spans="1:2" x14ac:dyDescent="0.25">
      <c r="A69" s="3" t="s">
        <v>32</v>
      </c>
    </row>
    <row r="70" spans="1:2" x14ac:dyDescent="0.25">
      <c r="A70" s="7" t="s">
        <v>34</v>
      </c>
      <c r="B70" s="6">
        <f t="array" ref="B70">_xll.qlInstrumentNPV($B$29,_xll.qlInstrumentSetPricingEngine($B$29,B60))</f>
        <v>5.0881276088352108</v>
      </c>
    </row>
    <row r="71" spans="1:2" x14ac:dyDescent="0.25">
      <c r="A71" s="7" t="s">
        <v>35</v>
      </c>
      <c r="B71" s="6">
        <f t="array" ref="B71">_xll.qlInstrumentNPV($B$31,_xll.qlInstrumentSetPricingEngine($B$31,B61))</f>
        <v>9.3714474797118879</v>
      </c>
    </row>
    <row r="72" spans="1:2" x14ac:dyDescent="0.25">
      <c r="A72" s="7" t="s">
        <v>36</v>
      </c>
      <c r="B72" s="6">
        <f t="array" ref="B72">_xll.qlInstrumentNPV($B$31,_xll.qlInstrumentSetPricingEngine($B$31,B62))</f>
        <v>9.371344349336697</v>
      </c>
    </row>
    <row r="73" spans="1:2" x14ac:dyDescent="0.25">
      <c r="A73" s="7" t="s">
        <v>37</v>
      </c>
      <c r="B73" s="6">
        <f t="array" ref="B73">_xll.qlInstrumentNPV($B$32,_xll.qlInstrumentSetPricingEngine($B$32,B63))</f>
        <v>9.4770087612369149</v>
      </c>
    </row>
    <row r="74" spans="1:2" x14ac:dyDescent="0.25">
      <c r="A74" s="7" t="s">
        <v>38</v>
      </c>
      <c r="B74" s="6">
        <f t="array" ref="B74">_xll.qlInstrumentNPV($B$31,_xll.qlInstrumentSetPricingEngine($B$31,B64))</f>
        <v>9.3714561400848098</v>
      </c>
    </row>
    <row r="75" spans="1:2" x14ac:dyDescent="0.25">
      <c r="A75" s="7" t="s">
        <v>39</v>
      </c>
      <c r="B75" s="6">
        <f t="array" ref="B75">_xll.qlInstrumentNPV($B$30,_xll.qlInstrumentSetPricingEngine($B$30,B65))</f>
        <v>16.43465544034472</v>
      </c>
    </row>
    <row r="76" spans="1:2" x14ac:dyDescent="0.25">
      <c r="A76" t="s">
        <v>50</v>
      </c>
      <c r="B76" s="6" cm="1">
        <f t="array" ref="B76">_xll.qlInstrumentNPV($B$31,_xll.qlInstrumentSetPricingEngine($B$31,B66))</f>
        <v>9.3714564733914134</v>
      </c>
    </row>
    <row r="77" spans="1:2" x14ac:dyDescent="0.25">
      <c r="A77" t="s">
        <v>51</v>
      </c>
      <c r="B77" s="6" cm="1">
        <f t="array" ref="B77">_xll.qlInstrumentNPV($B$31,_xll.qlInstrumentSetPricingEngine($B$31,B67))</f>
        <v>9.3730057504190523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CBFC-B212-46DA-8CD3-09A67FA85B1D}">
  <dimension ref="A1:F39"/>
  <sheetViews>
    <sheetView workbookViewId="0">
      <selection activeCell="B6" sqref="B6"/>
    </sheetView>
  </sheetViews>
  <sheetFormatPr baseColWidth="10" defaultColWidth="9" defaultRowHeight="15" x14ac:dyDescent="0.25"/>
  <cols>
    <col min="1" max="1" width="23.28515625" bestFit="1" customWidth="1"/>
    <col min="2" max="2" width="84.42578125" style="2" bestFit="1" customWidth="1"/>
  </cols>
  <sheetData>
    <row r="1" spans="1:6" x14ac:dyDescent="0.25">
      <c r="A1" t="s">
        <v>0</v>
      </c>
      <c r="B1" s="1">
        <v>46174</v>
      </c>
    </row>
    <row r="2" spans="1:6" x14ac:dyDescent="0.25">
      <c r="A2" t="s">
        <v>1</v>
      </c>
      <c r="B2" s="1" cm="1">
        <f t="array" ref="B2">_xll.qlSettingsSetEvaluationDate(B1)</f>
        <v>46174</v>
      </c>
    </row>
    <row r="4" spans="1:6" x14ac:dyDescent="0.25">
      <c r="A4" t="s">
        <v>2</v>
      </c>
      <c r="B4" s="2" t="str">
        <f>_xll.qlFlatForward(B2,0.03,"actual365fixed")</f>
        <v>欣[test_basketoptions.xlsx]Everest_Himalaya options!R4C2YieldTermStructureHandle,A</v>
      </c>
    </row>
    <row r="5" spans="1:6" x14ac:dyDescent="0.25">
      <c r="A5" t="s">
        <v>3</v>
      </c>
      <c r="B5" s="2" t="str">
        <f>_xll.qlFlatForward(B2,0.01,"actual365fixed")</f>
        <v>欣[test_basketoptions.xlsx]Everest_Himalaya options!R5C2YieldTermStructureHandle,A</v>
      </c>
    </row>
    <row r="6" spans="1:6" x14ac:dyDescent="0.25">
      <c r="A6" t="s">
        <v>5</v>
      </c>
      <c r="B6" s="2" t="str" cm="1">
        <f t="array" ref="B6">_xll.qlBlackConstantVol(B2,"NullCalendar",0.25,"Act/365")</f>
        <v>欣[test_basketoptions.xlsx]Everest_Himalaya options!R6C2BlackVolTermStructureHandle,A</v>
      </c>
    </row>
    <row r="7" spans="1:6" x14ac:dyDescent="0.25">
      <c r="A7" t="s">
        <v>4</v>
      </c>
      <c r="B7" s="2">
        <v>100</v>
      </c>
    </row>
    <row r="9" spans="1:6" x14ac:dyDescent="0.25">
      <c r="A9" t="s">
        <v>20</v>
      </c>
      <c r="B9" s="2" t="str" cm="1">
        <f t="array" ref="B9">_xll.qlGeneralizedBlackScholesProcess(B7,B5,B4,B6)</f>
        <v>欣[test_basketoptions.xlsx]Everest_Himalaya options!R9C2GeneralizedBlackScholesProcess,A</v>
      </c>
      <c r="D9" t="s">
        <v>23</v>
      </c>
      <c r="E9">
        <v>1</v>
      </c>
      <c r="F9" s="5">
        <f>$B$11</f>
        <v>0.5</v>
      </c>
    </row>
    <row r="10" spans="1:6" x14ac:dyDescent="0.25">
      <c r="A10" t="s">
        <v>21</v>
      </c>
      <c r="B10" s="2" t="str" cm="1">
        <f t="array" ref="B10">_xll.qlGeneralizedBlackScholesProcess(B7,B5,B4,B6)</f>
        <v>欣[test_basketoptions.xlsx]Everest_Himalaya options!R10C2GeneralizedBlackScholesProcess,A</v>
      </c>
      <c r="E10" s="5">
        <f>$B$11</f>
        <v>0.5</v>
      </c>
      <c r="F10">
        <v>1</v>
      </c>
    </row>
    <row r="11" spans="1:6" x14ac:dyDescent="0.25">
      <c r="A11" t="s">
        <v>22</v>
      </c>
      <c r="B11" s="4">
        <v>0.5</v>
      </c>
    </row>
    <row r="12" spans="1:6" x14ac:dyDescent="0.25">
      <c r="A12" t="s">
        <v>24</v>
      </c>
      <c r="B12" s="2" t="str" cm="1">
        <f t="array" ref="B12">_xll.qlStochasticProcessArray(B9:B10,E9:F10)</f>
        <v>欣[test_basketoptions.xlsx]Everest_Himalaya options!R12C2StochasticProcessArray,A</v>
      </c>
    </row>
    <row r="14" spans="1:6" x14ac:dyDescent="0.25">
      <c r="A14" t="s">
        <v>16</v>
      </c>
      <c r="B14" s="2" t="str" cm="1">
        <f t="array" ref="B14">_xll.qlEuropeanExercise(B2+365)</f>
        <v>欣[test_basketoptions.xlsx]Everest_Himalaya options!R14C2EuropeanExercise,A</v>
      </c>
    </row>
    <row r="17" spans="1:2" x14ac:dyDescent="0.25">
      <c r="A17" t="s">
        <v>40</v>
      </c>
      <c r="B17" s="2">
        <v>100</v>
      </c>
    </row>
    <row r="18" spans="1:2" x14ac:dyDescent="0.25">
      <c r="A18" t="s">
        <v>41</v>
      </c>
      <c r="B18" s="2">
        <v>5</v>
      </c>
    </row>
    <row r="19" spans="1:2" x14ac:dyDescent="0.25">
      <c r="A19" s="3" t="s">
        <v>42</v>
      </c>
      <c r="B19" s="2" t="str" cm="1">
        <f t="array" ref="B19">_xll.qlEverestOption(B17,B18,B14)</f>
        <v>欣[test_basketoptions.xlsx]Everest_Himalaya options!R19C2EverestOption,A</v>
      </c>
    </row>
    <row r="21" spans="1:2" x14ac:dyDescent="0.25">
      <c r="A21" t="s">
        <v>43</v>
      </c>
      <c r="B21" s="2" t="str" cm="1">
        <f t="array" ref="B21">_xll.qlMakeSchedule(B2,B2+365,"3m")</f>
        <v>欣[test_basketoptions.xlsx]Everest_Himalaya options!R21C2Schedule,A</v>
      </c>
    </row>
    <row r="22" spans="1:2" x14ac:dyDescent="0.25">
      <c r="B22" s="1" cm="1">
        <f t="array" ref="B22:B26">_xll.qlScheduleDates(B21)</f>
        <v>46174</v>
      </c>
    </row>
    <row r="23" spans="1:2" x14ac:dyDescent="0.25">
      <c r="B23" s="1">
        <v>46266</v>
      </c>
    </row>
    <row r="24" spans="1:2" x14ac:dyDescent="0.25">
      <c r="B24" s="1">
        <v>46357</v>
      </c>
    </row>
    <row r="25" spans="1:2" x14ac:dyDescent="0.25">
      <c r="B25" s="1">
        <v>46447</v>
      </c>
    </row>
    <row r="26" spans="1:2" x14ac:dyDescent="0.25">
      <c r="B26" s="1">
        <v>46539</v>
      </c>
    </row>
    <row r="27" spans="1:2" x14ac:dyDescent="0.25">
      <c r="A27" t="s">
        <v>44</v>
      </c>
      <c r="B27" s="2">
        <v>100</v>
      </c>
    </row>
    <row r="28" spans="1:2" x14ac:dyDescent="0.25">
      <c r="A28" s="3" t="s">
        <v>45</v>
      </c>
      <c r="B28" s="2" t="str" cm="1">
        <f t="array" ref="B28">_xll.qlHimalayaOption(B22:B26,B27)</f>
        <v>欣[test_basketoptions.xlsx]Everest_Himalaya options!R28C2HimalayaOption,A</v>
      </c>
    </row>
    <row r="30" spans="1:2" x14ac:dyDescent="0.25">
      <c r="A30" s="3" t="s">
        <v>25</v>
      </c>
    </row>
    <row r="31" spans="1:2" x14ac:dyDescent="0.25">
      <c r="A31" t="s">
        <v>26</v>
      </c>
      <c r="B31" s="2" t="s">
        <v>27</v>
      </c>
    </row>
    <row r="32" spans="1:2" x14ac:dyDescent="0.25">
      <c r="A32" t="s">
        <v>28</v>
      </c>
      <c r="B32" s="2">
        <v>100</v>
      </c>
    </row>
    <row r="33" spans="1:2" x14ac:dyDescent="0.25">
      <c r="A33" t="s">
        <v>29</v>
      </c>
      <c r="B33" s="2">
        <f>2^10</f>
        <v>1024</v>
      </c>
    </row>
    <row r="34" spans="1:2" x14ac:dyDescent="0.25">
      <c r="A34" s="3" t="s">
        <v>46</v>
      </c>
      <c r="B34" s="2" t="str" cm="1">
        <f t="array" ref="B34">_xll.qlMCEverestEngine(B12,B31,B32,,,,B33)</f>
        <v>欣[test_basketoptions.xlsx]Everest_Himalaya options!R34C2MCLDEverestEngine,A</v>
      </c>
    </row>
    <row r="35" spans="1:2" x14ac:dyDescent="0.25">
      <c r="A35" s="3" t="s">
        <v>47</v>
      </c>
      <c r="B35" s="2" t="str" cm="1">
        <f t="array" ref="B35">_xll.qlMCHimalayaEngine(B12,B31,,,B33)</f>
        <v>欣[test_basketoptions.xlsx]Everest_Himalaya options!R35C2MCLDHimalayaEngine,A</v>
      </c>
    </row>
    <row r="37" spans="1:2" x14ac:dyDescent="0.25">
      <c r="A37" s="3" t="s">
        <v>32</v>
      </c>
    </row>
    <row r="38" spans="1:2" x14ac:dyDescent="0.25">
      <c r="A38" t="s">
        <v>48</v>
      </c>
      <c r="B38" s="4" cm="1">
        <f t="array" ref="B38">_xll.qlInstrumentNPV(B19,_xll.qlInstrumentSetPricingEngine(B19,B34))</f>
        <v>574.52201425851081</v>
      </c>
    </row>
    <row r="39" spans="1:2" x14ac:dyDescent="0.25">
      <c r="A39" t="s">
        <v>49</v>
      </c>
      <c r="B39" s="4" cm="1">
        <f t="array" ref="B39">_xll.qlInstrumentNPV(B28,_xll.qlInstrumentSetPricingEngine(B28,B35))</f>
        <v>5.1461846597820777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Basket option</vt:lpstr>
      <vt:lpstr>Everest_Himalaya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2026-08-29T04:46:03Z</dcterms:created>
  <dcterms:modified xsi:type="dcterms:W3CDTF">2026-10-19T09:57:09Z</dcterms:modified>
</cp:coreProperties>
</file>