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kerst\Desktop\FRAME\Pricing Software\Quantlib\QuantLibXlOil\tests\workbooktests\workbooks\"/>
    </mc:Choice>
  </mc:AlternateContent>
  <xr:revisionPtr revIDLastSave="0" documentId="13_ncr:1_{7B780ED8-F589-4B79-BCDB-902C58D2575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qlPeriod" sheetId="1" r:id="rId1"/>
    <sheet name="qlDate" sheetId="2" r:id="rId2"/>
    <sheet name="qlDateParser" sheetId="3" r:id="rId3"/>
    <sheet name="qlPeriodParser" sheetId="4" r:id="rId4"/>
    <sheet name="ECBDate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3" i="5" l="1" a="1"/>
  <c r="A5" i="1" a="1"/>
  <c r="A9" i="1" a="1"/>
  <c r="A4" i="1" a="1"/>
  <c r="A8" i="1" a="1"/>
  <c r="A7" i="1" a="1"/>
  <c r="A3" i="1" a="1"/>
  <c r="B2" i="4" a="1"/>
  <c r="B4" i="3" a="1"/>
  <c r="A6" i="1" a="1"/>
  <c r="B4" i="2" a="1"/>
  <c r="B5" i="3" a="1"/>
  <c r="B3" i="5" l="1"/>
  <c r="B5" i="3"/>
  <c r="B4" i="2"/>
  <c r="A6" i="1"/>
  <c r="B4" i="3"/>
  <c r="B2" i="4"/>
  <c r="A3" i="1"/>
  <c r="A7" i="1"/>
  <c r="A8" i="1"/>
  <c r="A4" i="1"/>
  <c r="A9" i="1"/>
  <c r="A5" i="1"/>
  <c r="B4" i="5" a="1"/>
  <c r="B5" i="5" a="1"/>
  <c r="B11" i="5" a="1"/>
  <c r="B8" i="5" a="1"/>
  <c r="B9" i="5" a="1"/>
  <c r="B9" i="2" a="1"/>
  <c r="B8" i="2" a="1"/>
  <c r="B7" i="2" a="1"/>
  <c r="B14" i="2" a="1"/>
  <c r="B19" i="2" a="1"/>
  <c r="B6" i="2" a="1"/>
  <c r="B15" i="2" a="1"/>
  <c r="B5" i="2" a="1"/>
  <c r="B9" i="5" l="1"/>
  <c r="B8" i="5"/>
  <c r="B11" i="5"/>
  <c r="B5" i="5"/>
  <c r="B4" i="5"/>
  <c r="B5" i="2"/>
  <c r="B15" i="2"/>
  <c r="B6" i="2"/>
  <c r="B19" i="2"/>
  <c r="B14" i="2"/>
  <c r="B7" i="2"/>
  <c r="B8" i="2"/>
  <c r="B9" i="2"/>
  <c r="B7" i="5" a="1"/>
  <c r="B6" i="5" a="1"/>
  <c r="B10" i="5" a="1"/>
  <c r="B20" i="5" a="1"/>
  <c r="B29" i="5" a="1"/>
  <c r="B16" i="2" a="1"/>
  <c r="B21" i="2" a="1"/>
  <c r="B10" i="2" a="1"/>
  <c r="B17" i="2" a="1"/>
  <c r="B29" i="5" l="1"/>
  <c r="B20" i="5"/>
  <c r="B10" i="5"/>
  <c r="B6" i="5"/>
  <c r="B7" i="5"/>
  <c r="B17" i="2"/>
  <c r="B10" i="2"/>
  <c r="B21" i="2"/>
  <c r="B16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<sst xmlns="http://schemas.openxmlformats.org/spreadsheetml/2006/main" count="48" uniqueCount="48">
  <si>
    <t>37d</t>
  </si>
  <si>
    <t>12M</t>
  </si>
  <si>
    <t>Year</t>
  </si>
  <si>
    <t>Month</t>
  </si>
  <si>
    <t>Day</t>
  </si>
  <si>
    <t>qlDate</t>
  </si>
  <si>
    <t>qlDateWeekday</t>
  </si>
  <si>
    <t>qlDateDayOfMonth</t>
  </si>
  <si>
    <t>qlDateMonth</t>
  </si>
  <si>
    <t>qlDateYear</t>
  </si>
  <si>
    <t>qlDateDayOfYear</t>
  </si>
  <si>
    <t>qlDateIsLeap</t>
  </si>
  <si>
    <t>qlDateMinDate</t>
  </si>
  <si>
    <t>qlDateMaxDate</t>
  </si>
  <si>
    <t>qlDateTodaysDate</t>
  </si>
  <si>
    <t>qlDateStartOfMonth</t>
  </si>
  <si>
    <t>qlDateEndOfMonth</t>
  </si>
  <si>
    <t>qlDateIsStartOfMonth</t>
  </si>
  <si>
    <t>qlDateIsEndOfMonth</t>
  </si>
  <si>
    <t>qlDateNextWeekday</t>
  </si>
  <si>
    <t>Weekday</t>
  </si>
  <si>
    <t>Tuesday</t>
  </si>
  <si>
    <t>qlDateNthWeekday</t>
  </si>
  <si>
    <t>N</t>
  </si>
  <si>
    <t>String</t>
  </si>
  <si>
    <t>ISO String</t>
  </si>
  <si>
    <t>2024-04-12</t>
  </si>
  <si>
    <t>qlDateParserParseFormatted</t>
  </si>
  <si>
    <t>Format</t>
  </si>
  <si>
    <t>12.04.2024</t>
  </si>
  <si>
    <t>%d.%m.%Y</t>
  </si>
  <si>
    <t>qlDateParserParseISO</t>
  </si>
  <si>
    <t>Period String</t>
  </si>
  <si>
    <t>qlPeriodParserParse</t>
  </si>
  <si>
    <t>1y3M</t>
  </si>
  <si>
    <t>qlECBDate</t>
  </si>
  <si>
    <t>qlECBCode</t>
  </si>
  <si>
    <t>month</t>
  </si>
  <si>
    <t>year</t>
  </si>
  <si>
    <t>qlECBIsDate</t>
  </si>
  <si>
    <t>qlECBIsCode</t>
  </si>
  <si>
    <t>qlECBDateFromCode</t>
  </si>
  <si>
    <t>qlECBNextDate</t>
  </si>
  <si>
    <t>qlECBNextCode</t>
  </si>
  <si>
    <t>qlECBNextDateFromCode</t>
  </si>
  <si>
    <t>qlECBNextDates</t>
  </si>
  <si>
    <t>qlECBNextDatesFromCode</t>
  </si>
  <si>
    <t>qlECBNextCodeFromCode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</si>
</sst>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0" fillId="0" borderId="0" xfId="0" quotePrefix="1"/>
    <xf numFmtId="14" fontId="0" fillId="0" borderId="0" xfId="0" applyNumberFormat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9"/>
  <sheetViews>
    <sheetView tabSelected="1" workbookViewId="0"/>
  </sheetViews>
  <sheetFormatPr baseColWidth="10" defaultColWidth="9.140625" defaultRowHeight="15" x14ac:dyDescent="0.25"/>
  <cols>
    <col min="1" max="1" width="18.42578125" customWidth="1"/>
  </cols>
  <sheetData>
    <row r="1" spans="1:1" x14ac:dyDescent="0.25">
      <c r="A1" t="s">
        <v>1</v>
      </c>
    </row>
    <row r="2" spans="1:1" x14ac:dyDescent="0.25">
      <c r="A2" t="s">
        <v>0</v>
      </c>
    </row>
    <row r="3" spans="1:1" x14ac:dyDescent="0.25">
      <c r="A3" cm="1">
        <f t="array" ref="A3">_xll.qlPeriodLength(A1)</f>
        <v>12</v>
      </c>
    </row>
    <row r="4" spans="1:1" x14ac:dyDescent="0.25">
      <c r="A4" t="str" cm="1">
        <f t="array" ref="A4">_xll.qlPeriodFrequency(A1)</f>
        <v>ANNUAL</v>
      </c>
    </row>
    <row r="5" spans="1:1" x14ac:dyDescent="0.25">
      <c r="A5" t="str" cm="1">
        <f t="array" ref="A5">_xll.qlPeriodFrequency(A2)</f>
        <v>OTHERFREQUENCY</v>
      </c>
    </row>
    <row r="6" spans="1:1" x14ac:dyDescent="0.25">
      <c r="A6" t="str" cm="1">
        <f t="array" ref="A6">_xll.qlPeriodNormalized(A1)</f>
        <v>1Y</v>
      </c>
    </row>
    <row r="7" spans="1:1" x14ac:dyDescent="0.25">
      <c r="A7" t="str" cm="1">
        <f t="array" ref="A7">_xll.qlPeriodNormalized(A2)</f>
        <v>37D</v>
      </c>
    </row>
    <row r="8" spans="1:1" x14ac:dyDescent="0.25">
      <c r="A8" t="str" cm="1">
        <f t="array" ref="A8">_xll.qlPeriodUnits(A1)</f>
        <v>MONTHS</v>
      </c>
    </row>
    <row r="9" spans="1:1" x14ac:dyDescent="0.25">
      <c r="A9" t="str" cm="1">
        <f t="array" ref="A9">_xll.qlPeriodUnits(A2)</f>
        <v>DAYS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06BE3-F11A-458F-9DD4-FCBD355E6523}">
  <dimension ref="A1:B21"/>
  <sheetViews>
    <sheetView workbookViewId="0"/>
  </sheetViews>
  <sheetFormatPr baseColWidth="10" defaultColWidth="9.140625" defaultRowHeight="15" x14ac:dyDescent="0.25"/>
  <cols>
    <col min="1" max="1" width="24.28515625" customWidth="1"/>
    <col min="2" max="2" width="12.42578125" customWidth="1"/>
  </cols>
  <sheetData>
    <row r="1" spans="1:2" x14ac:dyDescent="0.25">
      <c r="A1" t="s">
        <v>2</v>
      </c>
      <c r="B1">
        <v>2026</v>
      </c>
    </row>
    <row r="2" spans="1:2" x14ac:dyDescent="0.25">
      <c r="A2" t="s">
        <v>3</v>
      </c>
      <c r="B2">
        <v>5</v>
      </c>
    </row>
    <row r="3" spans="1:2" x14ac:dyDescent="0.25">
      <c r="A3" t="s">
        <v>4</v>
      </c>
      <c r="B3">
        <v>17</v>
      </c>
    </row>
    <row r="4" spans="1:2" x14ac:dyDescent="0.25">
      <c r="A4" t="s">
        <v>5</v>
      </c>
      <c r="B4" s="1" cm="1">
        <f t="array" ref="B4">_xll.qlDate(B1,B2,B3)</f>
        <v>46159</v>
      </c>
    </row>
    <row r="5" spans="1:2" x14ac:dyDescent="0.25">
      <c r="A5" t="s">
        <v>6</v>
      </c>
      <c r="B5" t="str" cm="1">
        <f t="array" ref="B5">_xll.qlDateWeekday(B4)</f>
        <v>SUNDAY</v>
      </c>
    </row>
    <row r="6" spans="1:2" x14ac:dyDescent="0.25">
      <c r="A6" t="s">
        <v>7</v>
      </c>
      <c r="B6" cm="1">
        <f t="array" ref="B6">_xll.qlDateDayOfMonth(B4)</f>
        <v>17</v>
      </c>
    </row>
    <row r="7" spans="1:2" x14ac:dyDescent="0.25">
      <c r="A7" t="s">
        <v>10</v>
      </c>
      <c r="B7" cm="1">
        <f t="array" ref="B7">_xll.qlDateDayOfYear(B4)</f>
        <v>137</v>
      </c>
    </row>
    <row r="8" spans="1:2" x14ac:dyDescent="0.25">
      <c r="A8" t="s">
        <v>8</v>
      </c>
      <c r="B8" cm="1">
        <f t="array" ref="B8">_xll.qlDateMonth(B4)</f>
        <v>5</v>
      </c>
    </row>
    <row r="9" spans="1:2" x14ac:dyDescent="0.25">
      <c r="A9" t="s">
        <v>9</v>
      </c>
      <c r="B9" cm="1">
        <f t="array" ref="B9">_xll.qlDateYear(B4)</f>
        <v>2026</v>
      </c>
    </row>
    <row r="10" spans="1:2" x14ac:dyDescent="0.25">
      <c r="A10" t="s">
        <v>11</v>
      </c>
      <c r="B10" t="b" cm="1">
        <f t="array" ref="B10">_xll.qlDateIsLeap(B9-2)</f>
        <v>1</v>
      </c>
    </row>
    <row r="11" spans="1:2" x14ac:dyDescent="0.25">
      <c r="A11" t="s">
        <v>12</v>
      </c>
      <c r="B11" s="1">
        <v>2</v>
      </c>
    </row>
    <row r="12" spans="1:2" x14ac:dyDescent="0.25">
      <c r="A12" t="s">
        <v>13</v>
      </c>
      <c r="B12" s="1">
        <v>2</v>
      </c>
    </row>
    <row r="13" spans="1:2" x14ac:dyDescent="0.25">
      <c r="A13" t="s">
        <v>14</v>
      </c>
      <c r="B13" s="1">
        <v>2</v>
      </c>
    </row>
    <row r="14" spans="1:2" x14ac:dyDescent="0.25">
      <c r="A14" t="s">
        <v>15</v>
      </c>
      <c r="B14" s="1" cm="1">
        <f t="array" ref="B14">_xll.qlDateStartOfMonth(B4)</f>
        <v>46143</v>
      </c>
    </row>
    <row r="15" spans="1:2" x14ac:dyDescent="0.25">
      <c r="A15" t="s">
        <v>16</v>
      </c>
      <c r="B15" s="1" cm="1">
        <f t="array" ref="B15">_xll.qlDateEndOfMonth(B4)</f>
        <v>46173</v>
      </c>
    </row>
    <row r="16" spans="1:2" x14ac:dyDescent="0.25">
      <c r="A16" t="s">
        <v>17</v>
      </c>
      <c r="B16" t="b" cm="1">
        <f t="array" ref="B16">_xll.qlDateIsStartOfMonth(B14)</f>
        <v>1</v>
      </c>
    </row>
    <row r="17" spans="1:2" x14ac:dyDescent="0.25">
      <c r="A17" t="s">
        <v>18</v>
      </c>
      <c r="B17" t="b" cm="1">
        <f t="array" ref="B17">_xll.qlDateIsEndOfMonth(B15)</f>
        <v>1</v>
      </c>
    </row>
    <row r="18" spans="1:2" x14ac:dyDescent="0.25">
      <c r="A18" t="s">
        <v>20</v>
      </c>
      <c r="B18" t="s">
        <v>21</v>
      </c>
    </row>
    <row r="19" spans="1:2" x14ac:dyDescent="0.25">
      <c r="A19" t="s">
        <v>19</v>
      </c>
      <c r="B19" s="1" cm="1">
        <f t="array" ref="B19">_xll.qlDateNextWeekday(B4,B18)</f>
        <v>46161</v>
      </c>
    </row>
    <row r="20" spans="1:2" x14ac:dyDescent="0.25">
      <c r="A20" t="s">
        <v>23</v>
      </c>
      <c r="B20">
        <v>3</v>
      </c>
    </row>
    <row r="21" spans="1:2" x14ac:dyDescent="0.25">
      <c r="A21" t="s">
        <v>22</v>
      </c>
      <c r="B21" s="1" cm="1">
        <f t="array" ref="B21">_xll.qlDateNthWeekday(B20,B18,B8,B9)</f>
        <v>46161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FA8D3-46AE-49A1-A85A-03A63DBCD87C}">
  <dimension ref="A1:B5"/>
  <sheetViews>
    <sheetView workbookViewId="0"/>
  </sheetViews>
  <sheetFormatPr baseColWidth="10" defaultColWidth="9.140625" defaultRowHeight="15" x14ac:dyDescent="0.25"/>
  <cols>
    <col min="1" max="1" width="30.7109375" customWidth="1"/>
    <col min="2" max="2" width="19.7109375" customWidth="1"/>
  </cols>
  <sheetData>
    <row r="1" spans="1:2" x14ac:dyDescent="0.25">
      <c r="A1" t="s">
        <v>24</v>
      </c>
      <c r="B1" s="2" t="s">
        <v>29</v>
      </c>
    </row>
    <row r="2" spans="1:2" x14ac:dyDescent="0.25">
      <c r="A2" t="s">
        <v>28</v>
      </c>
      <c r="B2" s="2" t="s">
        <v>30</v>
      </c>
    </row>
    <row r="3" spans="1:2" x14ac:dyDescent="0.25">
      <c r="A3" t="s">
        <v>25</v>
      </c>
      <c r="B3" s="2" t="s">
        <v>26</v>
      </c>
    </row>
    <row r="4" spans="1:2" x14ac:dyDescent="0.25">
      <c r="A4" t="s">
        <v>27</v>
      </c>
      <c r="B4" s="3" cm="1">
        <f t="array" ref="B4">_xll.qlDateParserParseFormatted(B1,B2)</f>
        <v>45394</v>
      </c>
    </row>
    <row r="5" spans="1:2" x14ac:dyDescent="0.25">
      <c r="A5" t="s">
        <v>31</v>
      </c>
      <c r="B5" s="3" cm="1">
        <f t="array" ref="B5">_xll.qlDateParserParseISO(B3)</f>
        <v>45394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4B23F-20C4-4C32-94BC-89E68DE44435}">
  <dimension ref="A1:B2"/>
  <sheetViews>
    <sheetView workbookViewId="0"/>
  </sheetViews>
  <sheetFormatPr baseColWidth="10" defaultColWidth="9.140625" defaultRowHeight="15" x14ac:dyDescent="0.25"/>
  <cols>
    <col min="1" max="1" width="22.7109375" customWidth="1"/>
  </cols>
  <sheetData>
    <row r="1" spans="1:2" x14ac:dyDescent="0.25">
      <c r="A1" t="s">
        <v>32</v>
      </c>
      <c r="B1" t="s">
        <v>34</v>
      </c>
    </row>
    <row r="2" spans="1:2" x14ac:dyDescent="0.25">
      <c r="A2" t="s">
        <v>33</v>
      </c>
      <c r="B2" t="str" cm="1">
        <f t="array" ref="B2">_xll.qlPeriodParserParse(B1)</f>
        <v>15M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73768-F0CE-4AE4-B3CB-3E1B89CB74FC}">
  <dimension ref="A1:B29"/>
  <sheetViews>
    <sheetView workbookViewId="0">
      <selection activeCell="E7" sqref="E7"/>
    </sheetView>
  </sheetViews>
  <sheetFormatPr baseColWidth="10" defaultRowHeight="15" x14ac:dyDescent="0.25"/>
  <cols>
    <col min="1" max="1" width="28.5703125" customWidth="1"/>
    <col min="2" max="2" width="21.5703125" style="4" customWidth="1"/>
  </cols>
  <sheetData>
    <row r="1" spans="1:2" x14ac:dyDescent="0.25">
      <c r="A1" t="s">
        <v>37</v>
      </c>
      <c r="B1" s="4">
        <v>10</v>
      </c>
    </row>
    <row r="2" spans="1:2" x14ac:dyDescent="0.25">
      <c r="A2" t="s">
        <v>38</v>
      </c>
      <c r="B2" s="4">
        <v>2023</v>
      </c>
    </row>
    <row r="3" spans="1:2" x14ac:dyDescent="0.25">
      <c r="A3" t="s">
        <v>35</v>
      </c>
      <c r="B3" s="5" cm="1">
        <f t="array" ref="B3">_xll.qlECBDate(B1,B2)</f>
        <v>45231</v>
      </c>
    </row>
    <row r="4" spans="1:2" x14ac:dyDescent="0.25">
      <c r="A4" t="s">
        <v>36</v>
      </c>
      <c r="B4" s="5" t="str" cm="1">
        <f t="array" ref="B4">_xll.qlECBCode(B3,B3)</f>
        <v>NOV23</v>
      </c>
    </row>
    <row r="5" spans="1:2" x14ac:dyDescent="0.25">
      <c r="A5" t="s">
        <v>39</v>
      </c>
      <c r="B5" s="4" t="b" cm="1">
        <f t="array" ref="B5">_xll.qlECBIsDate(B3,B3)</f>
        <v>1</v>
      </c>
    </row>
    <row r="6" spans="1:2" x14ac:dyDescent="0.25">
      <c r="A6" t="s">
        <v>40</v>
      </c>
      <c r="B6" s="4" t="b" cm="1">
        <f t="array" ref="B6">_xll.qlECBIsCode(B4,B4)</f>
        <v>1</v>
      </c>
    </row>
    <row r="7" spans="1:2" x14ac:dyDescent="0.25">
      <c r="A7" t="s">
        <v>41</v>
      </c>
      <c r="B7" s="5" cm="1">
        <f t="array" ref="B7">_xll.qlECBDateFromCode(B4,B4)</f>
        <v>45231</v>
      </c>
    </row>
    <row r="8" spans="1:2" x14ac:dyDescent="0.25">
      <c r="A8" t="s">
        <v>42</v>
      </c>
      <c r="B8" s="5" cm="1">
        <f t="array" ref="B8">_xll.qlECBNextDate(B3)</f>
        <v>45280</v>
      </c>
    </row>
    <row r="9" spans="1:2" x14ac:dyDescent="0.25">
      <c r="A9" t="s">
        <v>43</v>
      </c>
      <c r="B9" s="4" t="str" cm="1">
        <f t="array" ref="B9">_xll.qlECBNextCode(B3)</f>
        <v>DEC23</v>
      </c>
    </row>
    <row r="10" spans="1:2" x14ac:dyDescent="0.25">
      <c r="A10" t="s">
        <v>44</v>
      </c>
      <c r="B10" s="5" cm="1">
        <f t="array" ref="B10">_xll.qlECBNextDateFromCode(B4)</f>
        <v>45280</v>
      </c>
    </row>
    <row r="11" spans="1:2" x14ac:dyDescent="0.25">
      <c r="A11" t="s">
        <v>45</v>
      </c>
      <c r="B11" s="5" cm="1">
        <f t="array" ref="B11:B19">_xll.qlECBNextDates(B3)</f>
        <v>45280</v>
      </c>
    </row>
    <row r="12" spans="1:2" x14ac:dyDescent="0.25">
      <c r="B12" s="5">
        <v>45322</v>
      </c>
    </row>
    <row r="13" spans="1:2" x14ac:dyDescent="0.25">
      <c r="B13" s="5">
        <v>45364</v>
      </c>
    </row>
    <row r="14" spans="1:2" x14ac:dyDescent="0.25">
      <c r="B14" s="5">
        <v>45399</v>
      </c>
    </row>
    <row r="15" spans="1:2" x14ac:dyDescent="0.25">
      <c r="B15" s="5">
        <v>45455</v>
      </c>
    </row>
    <row r="16" spans="1:2" x14ac:dyDescent="0.25">
      <c r="B16" s="5">
        <v>45497</v>
      </c>
    </row>
    <row r="17" spans="1:2" x14ac:dyDescent="0.25">
      <c r="B17" s="5">
        <v>45553</v>
      </c>
    </row>
    <row r="18" spans="1:2" x14ac:dyDescent="0.25">
      <c r="B18" s="5">
        <v>45588</v>
      </c>
    </row>
    <row r="19" spans="1:2" x14ac:dyDescent="0.25">
      <c r="B19" s="5">
        <v>45644</v>
      </c>
    </row>
    <row r="20" spans="1:2" x14ac:dyDescent="0.25">
      <c r="A20" t="s">
        <v>46</v>
      </c>
      <c r="B20" s="5" cm="1">
        <f t="array" ref="B20:B28">_xll.qlECBNextDatesFromCode(B4)</f>
        <v>45280</v>
      </c>
    </row>
    <row r="21" spans="1:2" x14ac:dyDescent="0.25">
      <c r="B21" s="5">
        <v>45322</v>
      </c>
    </row>
    <row r="22" spans="1:2" x14ac:dyDescent="0.25">
      <c r="B22" s="5">
        <v>45364</v>
      </c>
    </row>
    <row r="23" spans="1:2" x14ac:dyDescent="0.25">
      <c r="B23" s="5">
        <v>45399</v>
      </c>
    </row>
    <row r="24" spans="1:2" x14ac:dyDescent="0.25">
      <c r="B24" s="5">
        <v>45455</v>
      </c>
    </row>
    <row r="25" spans="1:2" x14ac:dyDescent="0.25">
      <c r="B25" s="5">
        <v>45497</v>
      </c>
    </row>
    <row r="26" spans="1:2" x14ac:dyDescent="0.25">
      <c r="B26" s="5">
        <v>45553</v>
      </c>
    </row>
    <row r="27" spans="1:2" x14ac:dyDescent="0.25">
      <c r="B27" s="5">
        <v>45588</v>
      </c>
    </row>
    <row r="28" spans="1:2" x14ac:dyDescent="0.25">
      <c r="B28" s="5">
        <v>45644</v>
      </c>
    </row>
    <row r="29" spans="1:2" x14ac:dyDescent="0.25">
      <c r="A29" t="s">
        <v>47</v>
      </c>
      <c r="B29" s="4" t="str" cm="1">
        <f t="array" ref="B29">_xll.qlECBNextCodeFromCode(B4)</f>
        <v>DEC23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qlPeriod</vt:lpstr>
      <vt:lpstr>qlDate</vt:lpstr>
      <vt:lpstr>qlDateParser</vt:lpstr>
      <vt:lpstr>qlPeriodParser</vt:lpstr>
      <vt:lpstr>ECBDate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</dc:creator>
  <cp:lastModifiedBy>Kerstin Steinberg</cp:lastModifiedBy>
  <dcterms:created xsi:type="dcterms:W3CDTF">2015-06-05T18:19:34Z</dcterms:created>
  <dcterms:modified xsi:type="dcterms:W3CDTF">2026-10-19T10:29:18Z</dcterms:modified>
</cp:coreProperties>
</file>