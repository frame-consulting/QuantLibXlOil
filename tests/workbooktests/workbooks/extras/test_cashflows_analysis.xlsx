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kerst\Desktop\FRAME\Pricing Software\Quantlib\QuantLibXlOil\tests\workbooktests\workbooks\extras\"/>
    </mc:Choice>
  </mc:AlternateContent>
  <xr:revisionPtr revIDLastSave="0" documentId="13_ncr:1_{AB376689-14AA-4E5F-8276-E65AFBA6136D}" xr6:coauthVersionLast="36" xr6:coauthVersionMax="47" xr10:uidLastSave="{00000000-0000-0000-0000-000000000000}"/>
  <bookViews>
    <workbookView xWindow="-120" yWindow="-21720" windowWidth="38640" windowHeight="21120" xr2:uid="{B3F87518-0888-4A41-AB0C-3AA56253F670}"/>
  </bookViews>
  <sheets>
    <sheet name="qlCashFlowsAnalysis" sheetId="1" r:id="rId1"/>
    <sheet name="Table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10" i="1" l="1"/>
  <c r="B5" i="1"/>
  <c r="B11" i="1" a="1"/>
  <c r="B2" i="1" a="1"/>
  <c r="E6" i="1" a="1"/>
  <c r="E6" i="1" l="1"/>
  <c r="B2" i="1"/>
  <c r="B11" i="1"/>
  <c r="B4" i="1"/>
  <c r="B14" i="1" a="1"/>
  <c r="B12" i="1" a="1"/>
  <c r="B21" i="1" a="1"/>
  <c r="B21" i="1" l="1"/>
  <c r="B14" i="1"/>
  <c r="B12" i="1"/>
  <c r="B7" i="1" a="1"/>
  <c r="B23" i="1" a="1"/>
  <c r="B8" i="1" a="1"/>
  <c r="G6" i="1" a="1"/>
  <c r="B22" i="1" a="1"/>
  <c r="G6" i="1" l="1"/>
  <c r="B22" i="1"/>
  <c r="B23" i="1"/>
  <c r="B7" i="1"/>
  <c r="B8" i="1"/>
  <c r="B15" i="1" a="1"/>
  <c r="B32" i="1" a="1"/>
  <c r="B15" i="1" l="1"/>
  <c r="B32" i="1"/>
  <c r="J6" i="1" a="1"/>
  <c r="C32" i="1" a="1"/>
  <c r="J6" i="1" l="1"/>
  <c r="B25" i="1" a="1"/>
  <c r="B25" i="1" s="1"/>
  <c r="C32" i="1"/>
  <c r="B16" i="1" a="1"/>
  <c r="B16" i="1" s="1"/>
  <c r="C25" i="1" a="1"/>
  <c r="P6" i="1" a="1"/>
  <c r="P6" i="1" l="1"/>
  <c r="C25" i="1"/>
  <c r="B35" i="1" l="1"/>
  <c r="B34" i="1"/>
  <c r="B33" i="1"/>
  <c r="B28" i="1"/>
  <c r="B27" i="1"/>
  <c r="B26" i="1"/>
  <c r="T49" i="1"/>
  <c r="S49" i="1"/>
  <c r="R49" i="1"/>
  <c r="Q49" i="1"/>
  <c r="P49" i="1"/>
  <c r="T48" i="1"/>
  <c r="S48" i="1"/>
  <c r="R48" i="1"/>
  <c r="Q48" i="1"/>
  <c r="P48" i="1"/>
  <c r="T47" i="1"/>
  <c r="S47" i="1"/>
  <c r="R47" i="1"/>
  <c r="Q47" i="1"/>
  <c r="P47" i="1"/>
  <c r="T46" i="1"/>
  <c r="S46" i="1"/>
  <c r="R46" i="1"/>
  <c r="Q46" i="1"/>
  <c r="P46" i="1"/>
  <c r="T45" i="1"/>
  <c r="S45" i="1"/>
  <c r="R45" i="1"/>
  <c r="Q45" i="1"/>
  <c r="P45" i="1"/>
  <c r="T44" i="1"/>
  <c r="S44" i="1"/>
  <c r="R44" i="1"/>
  <c r="Q44" i="1"/>
  <c r="P44" i="1"/>
  <c r="T43" i="1"/>
  <c r="S43" i="1"/>
  <c r="R43" i="1"/>
  <c r="Q43" i="1"/>
  <c r="P43" i="1"/>
  <c r="T42" i="1"/>
  <c r="S42" i="1"/>
  <c r="R42" i="1"/>
  <c r="Q42" i="1"/>
  <c r="P42" i="1"/>
  <c r="T41" i="1"/>
  <c r="S41" i="1"/>
  <c r="R41" i="1"/>
  <c r="Q41" i="1"/>
  <c r="P41" i="1"/>
  <c r="T40" i="1"/>
  <c r="S40" i="1"/>
  <c r="R40" i="1"/>
  <c r="Q40" i="1"/>
  <c r="P40" i="1"/>
  <c r="T39" i="1"/>
  <c r="S39" i="1"/>
  <c r="R39" i="1"/>
  <c r="Q39" i="1"/>
  <c r="P39" i="1"/>
  <c r="T38" i="1"/>
  <c r="S38" i="1"/>
  <c r="R38" i="1"/>
  <c r="Q38" i="1"/>
  <c r="P38" i="1"/>
  <c r="T37" i="1"/>
  <c r="S37" i="1"/>
  <c r="R37" i="1"/>
  <c r="Q37" i="1"/>
  <c r="P37" i="1"/>
  <c r="T36" i="1"/>
  <c r="S36" i="1"/>
  <c r="R36" i="1"/>
  <c r="Q36" i="1"/>
  <c r="P36" i="1"/>
  <c r="T35" i="1"/>
  <c r="S35" i="1"/>
  <c r="R35" i="1"/>
  <c r="Q35" i="1"/>
  <c r="P35" i="1"/>
  <c r="T34" i="1"/>
  <c r="S34" i="1"/>
  <c r="R34" i="1"/>
  <c r="Q34" i="1"/>
  <c r="P34" i="1"/>
  <c r="T33" i="1"/>
  <c r="S33" i="1"/>
  <c r="R33" i="1"/>
  <c r="Q33" i="1"/>
  <c r="P33" i="1"/>
  <c r="T32" i="1"/>
  <c r="S32" i="1"/>
  <c r="R32" i="1"/>
  <c r="Q32" i="1"/>
  <c r="P32" i="1"/>
  <c r="T31" i="1"/>
  <c r="S31" i="1"/>
  <c r="R31" i="1"/>
  <c r="Q31" i="1"/>
  <c r="P31" i="1"/>
  <c r="T30" i="1"/>
  <c r="S30" i="1"/>
  <c r="R30" i="1"/>
  <c r="Q30" i="1"/>
  <c r="P30" i="1"/>
  <c r="T29" i="1"/>
  <c r="S29" i="1"/>
  <c r="R29" i="1"/>
  <c r="Q29" i="1"/>
  <c r="P29" i="1"/>
  <c r="T28" i="1"/>
  <c r="S28" i="1"/>
  <c r="R28" i="1"/>
  <c r="Q28" i="1"/>
  <c r="P28" i="1"/>
  <c r="T27" i="1"/>
  <c r="S27" i="1"/>
  <c r="R27" i="1"/>
  <c r="Q27" i="1"/>
  <c r="P27" i="1"/>
  <c r="T26" i="1"/>
  <c r="S26" i="1"/>
  <c r="R26" i="1"/>
  <c r="Q26" i="1"/>
  <c r="P26" i="1"/>
  <c r="T25" i="1"/>
  <c r="S25" i="1"/>
  <c r="R25" i="1"/>
  <c r="Q25" i="1"/>
  <c r="P25" i="1"/>
  <c r="T24" i="1"/>
  <c r="S24" i="1"/>
  <c r="R24" i="1"/>
  <c r="Q24" i="1"/>
  <c r="P24" i="1"/>
  <c r="T23" i="1"/>
  <c r="S23" i="1"/>
  <c r="R23" i="1"/>
  <c r="Q23" i="1"/>
  <c r="P23" i="1"/>
  <c r="T22" i="1"/>
  <c r="S22" i="1"/>
  <c r="R22" i="1"/>
  <c r="Q22" i="1"/>
  <c r="P22" i="1"/>
  <c r="T21" i="1"/>
  <c r="S21" i="1"/>
  <c r="R21" i="1"/>
  <c r="Q21" i="1"/>
  <c r="P21" i="1"/>
  <c r="T20" i="1"/>
  <c r="S20" i="1"/>
  <c r="R20" i="1"/>
  <c r="Q20" i="1"/>
  <c r="P20" i="1"/>
  <c r="T19" i="1"/>
  <c r="S19" i="1"/>
  <c r="R19" i="1"/>
  <c r="Q19" i="1"/>
  <c r="P19" i="1"/>
  <c r="T18" i="1"/>
  <c r="S18" i="1"/>
  <c r="R18" i="1"/>
  <c r="Q18" i="1"/>
  <c r="P18" i="1"/>
  <c r="T17" i="1"/>
  <c r="S17" i="1"/>
  <c r="R17" i="1"/>
  <c r="Q17" i="1"/>
  <c r="P17" i="1"/>
  <c r="T16" i="1"/>
  <c r="S16" i="1"/>
  <c r="R16" i="1"/>
  <c r="Q16" i="1"/>
  <c r="P16" i="1"/>
  <c r="T15" i="1"/>
  <c r="S15" i="1"/>
  <c r="R15" i="1"/>
  <c r="Q15" i="1"/>
  <c r="P15" i="1"/>
  <c r="T14" i="1"/>
  <c r="S14" i="1"/>
  <c r="R14" i="1"/>
  <c r="Q14" i="1"/>
  <c r="P14" i="1"/>
  <c r="T13" i="1"/>
  <c r="S13" i="1"/>
  <c r="R13" i="1"/>
  <c r="Q13" i="1"/>
  <c r="P13" i="1"/>
  <c r="T12" i="1"/>
  <c r="S12" i="1"/>
  <c r="R12" i="1"/>
  <c r="Q12" i="1"/>
  <c r="P12" i="1"/>
  <c r="T11" i="1"/>
  <c r="S11" i="1"/>
  <c r="R11" i="1"/>
  <c r="Q11" i="1"/>
  <c r="P11" i="1"/>
  <c r="T10" i="1"/>
  <c r="S10" i="1"/>
  <c r="R10" i="1"/>
  <c r="Q10" i="1"/>
  <c r="P10" i="1"/>
  <c r="T9" i="1"/>
  <c r="S9" i="1"/>
  <c r="R9" i="1"/>
  <c r="Q9" i="1"/>
  <c r="P9" i="1"/>
  <c r="T8" i="1"/>
  <c r="S8" i="1"/>
  <c r="R8" i="1"/>
  <c r="Q8" i="1"/>
  <c r="P8" i="1"/>
  <c r="T7" i="1"/>
  <c r="S7" i="1"/>
  <c r="R7" i="1"/>
  <c r="Q7" i="1"/>
  <c r="P7" i="1"/>
  <c r="T6" i="1"/>
  <c r="S6" i="1"/>
  <c r="R6" i="1"/>
  <c r="Q6" i="1"/>
  <c r="N49" i="1"/>
  <c r="M49" i="1"/>
  <c r="L49" i="1"/>
  <c r="K49" i="1"/>
  <c r="J49" i="1"/>
  <c r="N48" i="1"/>
  <c r="M48" i="1"/>
  <c r="L48" i="1"/>
  <c r="K48" i="1"/>
  <c r="J48" i="1"/>
  <c r="N47" i="1"/>
  <c r="M47" i="1"/>
  <c r="L47" i="1"/>
  <c r="K47" i="1"/>
  <c r="J47" i="1"/>
  <c r="N46" i="1"/>
  <c r="M46" i="1"/>
  <c r="L46" i="1"/>
  <c r="K46" i="1"/>
  <c r="J46" i="1"/>
  <c r="N45" i="1"/>
  <c r="M45" i="1"/>
  <c r="L45" i="1"/>
  <c r="K45" i="1"/>
  <c r="J45" i="1"/>
  <c r="N44" i="1"/>
  <c r="M44" i="1"/>
  <c r="L44" i="1"/>
  <c r="K44" i="1"/>
  <c r="J44" i="1"/>
  <c r="N43" i="1"/>
  <c r="M43" i="1"/>
  <c r="L43" i="1"/>
  <c r="K43" i="1"/>
  <c r="J43" i="1"/>
  <c r="N42" i="1"/>
  <c r="M42" i="1"/>
  <c r="L42" i="1"/>
  <c r="K42" i="1"/>
  <c r="J42" i="1"/>
  <c r="N41" i="1"/>
  <c r="M41" i="1"/>
  <c r="L41" i="1"/>
  <c r="K41" i="1"/>
  <c r="J41" i="1"/>
  <c r="N40" i="1"/>
  <c r="M40" i="1"/>
  <c r="L40" i="1"/>
  <c r="K40" i="1"/>
  <c r="J40" i="1"/>
  <c r="N39" i="1"/>
  <c r="M39" i="1"/>
  <c r="L39" i="1"/>
  <c r="K39" i="1"/>
  <c r="J39" i="1"/>
  <c r="N38" i="1"/>
  <c r="M38" i="1"/>
  <c r="L38" i="1"/>
  <c r="K38" i="1"/>
  <c r="J38" i="1"/>
  <c r="N37" i="1"/>
  <c r="M37" i="1"/>
  <c r="L37" i="1"/>
  <c r="K37" i="1"/>
  <c r="J37" i="1"/>
  <c r="N36" i="1"/>
  <c r="M36" i="1"/>
  <c r="L36" i="1"/>
  <c r="K36" i="1"/>
  <c r="J36" i="1"/>
  <c r="N35" i="1"/>
  <c r="M35" i="1"/>
  <c r="L35" i="1"/>
  <c r="K35" i="1"/>
  <c r="J35" i="1"/>
  <c r="N34" i="1"/>
  <c r="M34" i="1"/>
  <c r="L34" i="1"/>
  <c r="K34" i="1"/>
  <c r="J34" i="1"/>
  <c r="N33" i="1"/>
  <c r="M33" i="1"/>
  <c r="L33" i="1"/>
  <c r="K33" i="1"/>
  <c r="J33" i="1"/>
  <c r="N32" i="1"/>
  <c r="M32" i="1"/>
  <c r="L32" i="1"/>
  <c r="K32" i="1"/>
  <c r="J32" i="1"/>
  <c r="N31" i="1"/>
  <c r="M31" i="1"/>
  <c r="L31" i="1"/>
  <c r="K31" i="1"/>
  <c r="J31" i="1"/>
  <c r="N30" i="1"/>
  <c r="M30" i="1"/>
  <c r="L30" i="1"/>
  <c r="K30" i="1"/>
  <c r="J30" i="1"/>
  <c r="N29" i="1"/>
  <c r="M29" i="1"/>
  <c r="L29" i="1"/>
  <c r="K29" i="1"/>
  <c r="J29" i="1"/>
  <c r="N28" i="1"/>
  <c r="M28" i="1"/>
  <c r="L28" i="1"/>
  <c r="K28" i="1"/>
  <c r="J28" i="1"/>
  <c r="N27" i="1"/>
  <c r="M27" i="1"/>
  <c r="L27" i="1"/>
  <c r="K27" i="1"/>
  <c r="J27" i="1"/>
  <c r="N26" i="1"/>
  <c r="M26" i="1"/>
  <c r="L26" i="1"/>
  <c r="K26" i="1"/>
  <c r="J26" i="1"/>
  <c r="N25" i="1"/>
  <c r="M25" i="1"/>
  <c r="L25" i="1"/>
  <c r="K25" i="1"/>
  <c r="J25" i="1"/>
  <c r="N24" i="1"/>
  <c r="M24" i="1"/>
  <c r="L24" i="1"/>
  <c r="K24" i="1"/>
  <c r="J24" i="1"/>
  <c r="N23" i="1"/>
  <c r="M23" i="1"/>
  <c r="L23" i="1"/>
  <c r="K23" i="1"/>
  <c r="J23" i="1"/>
  <c r="N22" i="1"/>
  <c r="M22" i="1"/>
  <c r="L22" i="1"/>
  <c r="K22" i="1"/>
  <c r="J22" i="1"/>
  <c r="N21" i="1"/>
  <c r="M21" i="1"/>
  <c r="L21" i="1"/>
  <c r="K21" i="1"/>
  <c r="J21" i="1"/>
  <c r="N20" i="1"/>
  <c r="M20" i="1"/>
  <c r="L20" i="1"/>
  <c r="K20" i="1"/>
  <c r="J20" i="1"/>
  <c r="N19" i="1"/>
  <c r="M19" i="1"/>
  <c r="L19" i="1"/>
  <c r="K19" i="1"/>
  <c r="J19" i="1"/>
  <c r="N18" i="1"/>
  <c r="M18" i="1"/>
  <c r="L18" i="1"/>
  <c r="K18" i="1"/>
  <c r="J18" i="1"/>
  <c r="N17" i="1"/>
  <c r="M17" i="1"/>
  <c r="L17" i="1"/>
  <c r="K17" i="1"/>
  <c r="J17" i="1"/>
  <c r="N16" i="1"/>
  <c r="M16" i="1"/>
  <c r="L16" i="1"/>
  <c r="K16" i="1"/>
  <c r="J16" i="1"/>
  <c r="N15" i="1"/>
  <c r="M15" i="1"/>
  <c r="L15" i="1"/>
  <c r="K15" i="1"/>
  <c r="J15" i="1"/>
  <c r="N14" i="1"/>
  <c r="M14" i="1"/>
  <c r="L14" i="1"/>
  <c r="K14" i="1"/>
  <c r="J14" i="1"/>
  <c r="N13" i="1"/>
  <c r="M13" i="1"/>
  <c r="L13" i="1"/>
  <c r="K13" i="1"/>
  <c r="J13" i="1"/>
  <c r="N12" i="1"/>
  <c r="M12" i="1"/>
  <c r="L12" i="1"/>
  <c r="K12" i="1"/>
  <c r="J12" i="1"/>
  <c r="N11" i="1"/>
  <c r="M11" i="1"/>
  <c r="L11" i="1"/>
  <c r="K11" i="1"/>
  <c r="J11" i="1"/>
  <c r="N10" i="1"/>
  <c r="M10" i="1"/>
  <c r="L10" i="1"/>
  <c r="K10" i="1"/>
  <c r="J10" i="1"/>
  <c r="N9" i="1"/>
  <c r="M9" i="1"/>
  <c r="L9" i="1"/>
  <c r="K9" i="1"/>
  <c r="J9" i="1"/>
  <c r="N8" i="1"/>
  <c r="M8" i="1"/>
  <c r="L8" i="1"/>
  <c r="K8" i="1"/>
  <c r="J8" i="1"/>
  <c r="N7" i="1"/>
  <c r="M7" i="1"/>
  <c r="L7" i="1"/>
  <c r="K7" i="1"/>
  <c r="J7" i="1"/>
  <c r="N6" i="1"/>
  <c r="M6" i="1"/>
  <c r="L6" i="1"/>
  <c r="K6" i="1"/>
  <c r="H49" i="1"/>
  <c r="G49" i="1"/>
  <c r="H48" i="1"/>
  <c r="G48" i="1"/>
  <c r="H47" i="1"/>
  <c r="G47" i="1"/>
  <c r="H46" i="1"/>
  <c r="G46" i="1"/>
  <c r="H45" i="1"/>
  <c r="G45" i="1"/>
  <c r="H44" i="1"/>
  <c r="G44" i="1"/>
  <c r="H43" i="1"/>
  <c r="G43" i="1"/>
  <c r="H42" i="1"/>
  <c r="G42" i="1"/>
  <c r="H41" i="1"/>
  <c r="G41" i="1"/>
  <c r="H40" i="1"/>
  <c r="G40" i="1"/>
  <c r="H39" i="1"/>
  <c r="G39" i="1"/>
  <c r="H38" i="1"/>
  <c r="G38" i="1"/>
  <c r="H37" i="1"/>
  <c r="G37" i="1"/>
  <c r="H36" i="1"/>
  <c r="G36" i="1"/>
  <c r="H35" i="1"/>
  <c r="G35" i="1"/>
  <c r="H34" i="1"/>
  <c r="G34" i="1"/>
  <c r="H33" i="1"/>
  <c r="G33" i="1"/>
  <c r="H32" i="1"/>
  <c r="G32" i="1"/>
  <c r="H31" i="1"/>
  <c r="G31" i="1"/>
  <c r="H30" i="1"/>
  <c r="G30" i="1"/>
  <c r="H29" i="1"/>
  <c r="G29" i="1"/>
  <c r="H28" i="1"/>
  <c r="G28" i="1"/>
  <c r="H27" i="1"/>
  <c r="G27" i="1"/>
  <c r="H26" i="1"/>
  <c r="G26" i="1"/>
  <c r="H25" i="1"/>
  <c r="G25" i="1"/>
  <c r="H24" i="1"/>
  <c r="G24" i="1"/>
  <c r="H23" i="1"/>
  <c r="G23" i="1"/>
  <c r="H22" i="1"/>
  <c r="G22" i="1"/>
  <c r="H21" i="1"/>
  <c r="G21" i="1"/>
  <c r="H20" i="1"/>
  <c r="G20" i="1"/>
  <c r="H19" i="1"/>
  <c r="G19" i="1"/>
  <c r="H18" i="1"/>
  <c r="G18" i="1"/>
  <c r="H17" i="1"/>
  <c r="G17" i="1"/>
  <c r="H16" i="1"/>
  <c r="G16" i="1"/>
  <c r="H15" i="1"/>
  <c r="G15" i="1"/>
  <c r="H14" i="1"/>
  <c r="G14" i="1"/>
  <c r="H13" i="1"/>
  <c r="G13" i="1"/>
  <c r="H12" i="1"/>
  <c r="G12" i="1"/>
  <c r="H11" i="1"/>
  <c r="G11" i="1"/>
  <c r="H10" i="1"/>
  <c r="G10" i="1"/>
  <c r="H9" i="1"/>
  <c r="G9" i="1"/>
  <c r="H8" i="1"/>
  <c r="G8" i="1"/>
  <c r="H7" i="1"/>
  <c r="G7" i="1"/>
  <c r="H6" i="1"/>
  <c r="E49" i="1"/>
  <c r="E48" i="1"/>
  <c r="E47" i="1"/>
  <c r="E46" i="1"/>
  <c r="E45" i="1"/>
  <c r="E44" i="1"/>
  <c r="E43" i="1"/>
  <c r="E42" i="1"/>
  <c r="E41" i="1"/>
  <c r="E40" i="1"/>
  <c r="E39" i="1"/>
  <c r="E38" i="1"/>
  <c r="E37" i="1"/>
  <c r="E36" i="1"/>
  <c r="E35" i="1"/>
  <c r="E34" i="1"/>
  <c r="E33" i="1"/>
  <c r="E32" i="1"/>
  <c r="E31" i="1"/>
  <c r="E30" i="1"/>
  <c r="E29" i="1"/>
  <c r="E28" i="1"/>
  <c r="E27" i="1"/>
  <c r="E26" i="1"/>
  <c r="E25" i="1"/>
  <c r="E24" i="1"/>
  <c r="E23" i="1"/>
  <c r="E22" i="1"/>
  <c r="E21" i="1"/>
  <c r="E20" i="1"/>
  <c r="E19" i="1"/>
  <c r="E18" i="1"/>
  <c r="E17" i="1"/>
  <c r="E16" i="1"/>
  <c r="E15" i="1"/>
  <c r="E14" i="1"/>
  <c r="E13" i="1"/>
  <c r="E12" i="1"/>
  <c r="E11" i="1"/>
  <c r="E10" i="1"/>
  <c r="E9" i="1"/>
  <c r="E8" i="1"/>
  <c r="E7" i="1"/>
  <c r="C33" i="1" a="1"/>
  <c r="C28" i="1" a="1"/>
  <c r="C26" i="1" a="1"/>
  <c r="C27" i="1" a="1"/>
  <c r="C35" i="1" a="1"/>
  <c r="C34" i="1" a="1"/>
  <c r="C34" i="1" l="1"/>
  <c r="C35" i="1"/>
  <c r="C27" i="1"/>
  <c r="C26" i="1"/>
  <c r="C28" i="1"/>
  <c r="C33" i="1"/>
  <c r="B29" i="1" a="1"/>
  <c r="B36" i="1" a="1"/>
  <c r="B36" i="1" l="1"/>
  <c r="B29" i="1"/>
  <c r="B37" i="1" a="1"/>
  <c r="B37" i="1" s="1"/>
  <c r="B30" i="1" a="1"/>
  <c r="B30" i="1" s="1"/>
  <c r="V6" i="1" a="1"/>
  <c r="B3" i="2" a="1"/>
  <c r="AB6" i="1" a="1"/>
  <c r="AB6" i="1" l="1"/>
  <c r="AF49" i="1"/>
  <c r="AC48" i="1"/>
  <c r="AE46" i="1"/>
  <c r="AB45" i="1"/>
  <c r="AD43" i="1"/>
  <c r="AF41" i="1"/>
  <c r="AC40" i="1"/>
  <c r="AE38" i="1"/>
  <c r="AB37" i="1"/>
  <c r="AD35" i="1"/>
  <c r="AF33" i="1"/>
  <c r="AC32" i="1"/>
  <c r="AE30" i="1"/>
  <c r="AB29" i="1"/>
  <c r="AD27" i="1"/>
  <c r="AF25" i="1"/>
  <c r="AC24" i="1"/>
  <c r="AE22" i="1"/>
  <c r="AB21" i="1"/>
  <c r="AD19" i="1"/>
  <c r="AF17" i="1"/>
  <c r="AC16" i="1"/>
  <c r="AE14" i="1"/>
  <c r="AB13" i="1"/>
  <c r="AD11" i="1"/>
  <c r="AF9" i="1"/>
  <c r="AC8" i="1"/>
  <c r="AE6" i="1"/>
  <c r="AE49" i="1"/>
  <c r="AB48" i="1"/>
  <c r="AD46" i="1"/>
  <c r="AF44" i="1"/>
  <c r="AC43" i="1"/>
  <c r="AE41" i="1"/>
  <c r="AB40" i="1"/>
  <c r="AD38" i="1"/>
  <c r="AF36" i="1"/>
  <c r="AC35" i="1"/>
  <c r="AE33" i="1"/>
  <c r="AB32" i="1"/>
  <c r="AD30" i="1"/>
  <c r="AF28" i="1"/>
  <c r="AC27" i="1"/>
  <c r="AE25" i="1"/>
  <c r="AB24" i="1"/>
  <c r="AD22" i="1"/>
  <c r="AF20" i="1"/>
  <c r="AC19" i="1"/>
  <c r="AE17" i="1"/>
  <c r="AB16" i="1"/>
  <c r="AB49" i="1"/>
  <c r="AD47" i="1"/>
  <c r="AF45" i="1"/>
  <c r="AC44" i="1"/>
  <c r="AE42" i="1"/>
  <c r="AB41" i="1"/>
  <c r="AD39" i="1"/>
  <c r="AF37" i="1"/>
  <c r="AC36" i="1"/>
  <c r="AE34" i="1"/>
  <c r="AB33" i="1"/>
  <c r="AD31" i="1"/>
  <c r="AF29" i="1"/>
  <c r="AC28" i="1"/>
  <c r="AE26" i="1"/>
  <c r="AB25" i="1"/>
  <c r="AD23" i="1"/>
  <c r="AF21" i="1"/>
  <c r="AC20" i="1"/>
  <c r="AE18" i="1"/>
  <c r="AB17" i="1"/>
  <c r="AD15" i="1"/>
  <c r="AF13" i="1"/>
  <c r="AC12" i="1"/>
  <c r="AE10" i="1"/>
  <c r="AB9" i="1"/>
  <c r="AD7" i="1"/>
  <c r="AF48" i="1"/>
  <c r="AC47" i="1"/>
  <c r="AE45" i="1"/>
  <c r="AB44" i="1"/>
  <c r="AD42" i="1"/>
  <c r="AF40" i="1"/>
  <c r="AC39" i="1"/>
  <c r="AE37" i="1"/>
  <c r="AB36" i="1"/>
  <c r="AD34" i="1"/>
  <c r="AF32" i="1"/>
  <c r="AE47" i="1"/>
  <c r="AD44" i="1"/>
  <c r="AC41" i="1"/>
  <c r="AB38" i="1"/>
  <c r="AF34" i="1"/>
  <c r="AE31" i="1"/>
  <c r="AC29" i="1"/>
  <c r="AD26" i="1"/>
  <c r="AF23" i="1"/>
  <c r="AD21" i="1"/>
  <c r="AF18" i="1"/>
  <c r="AD16" i="1"/>
  <c r="AB14" i="1"/>
  <c r="AF11" i="1"/>
  <c r="AE9" i="1"/>
  <c r="AE7" i="1"/>
  <c r="AF46" i="1"/>
  <c r="AE43" i="1"/>
  <c r="AD40" i="1"/>
  <c r="AC37" i="1"/>
  <c r="AB34" i="1"/>
  <c r="AD28" i="1"/>
  <c r="AB26" i="1"/>
  <c r="AC23" i="1"/>
  <c r="AC18" i="1"/>
  <c r="AE15" i="1"/>
  <c r="AC11" i="1"/>
  <c r="AB7" i="1"/>
  <c r="AB47" i="1"/>
  <c r="AF43" i="1"/>
  <c r="AE40" i="1"/>
  <c r="AD37" i="1"/>
  <c r="AC34" i="1"/>
  <c r="AC31" i="1"/>
  <c r="AE28" i="1"/>
  <c r="AC26" i="1"/>
  <c r="AE23" i="1"/>
  <c r="AC21" i="1"/>
  <c r="AD18" i="1"/>
  <c r="AF15" i="1"/>
  <c r="AE13" i="1"/>
  <c r="AE11" i="1"/>
  <c r="AD9" i="1"/>
  <c r="AC7" i="1"/>
  <c r="AB31" i="1"/>
  <c r="AE20" i="1"/>
  <c r="AD13" i="1"/>
  <c r="AC9" i="1"/>
  <c r="AD49" i="1"/>
  <c r="AC46" i="1"/>
  <c r="AB43" i="1"/>
  <c r="AF39" i="1"/>
  <c r="AE36" i="1"/>
  <c r="AD33" i="1"/>
  <c r="AF30" i="1"/>
  <c r="AB28" i="1"/>
  <c r="AD25" i="1"/>
  <c r="AB23" i="1"/>
  <c r="AD20" i="1"/>
  <c r="AB18" i="1"/>
  <c r="AC15" i="1"/>
  <c r="AC13" i="1"/>
  <c r="AB11" i="1"/>
  <c r="AF8" i="1"/>
  <c r="AF6" i="1"/>
  <c r="AC49" i="1"/>
  <c r="AB46" i="1"/>
  <c r="AF42" i="1"/>
  <c r="AE39" i="1"/>
  <c r="AD36" i="1"/>
  <c r="AC33" i="1"/>
  <c r="AC30" i="1"/>
  <c r="AF27" i="1"/>
  <c r="AC25" i="1"/>
  <c r="AF22" i="1"/>
  <c r="AB20" i="1"/>
  <c r="AD17" i="1"/>
  <c r="AB15" i="1"/>
  <c r="AF12" i="1"/>
  <c r="AF10" i="1"/>
  <c r="AE8" i="1"/>
  <c r="AD6" i="1"/>
  <c r="AF47" i="1"/>
  <c r="AE48" i="1"/>
  <c r="AD45" i="1"/>
  <c r="AC42" i="1"/>
  <c r="AB39" i="1"/>
  <c r="AF35" i="1"/>
  <c r="AE32" i="1"/>
  <c r="AB30" i="1"/>
  <c r="AE27" i="1"/>
  <c r="AF24" i="1"/>
  <c r="AC22" i="1"/>
  <c r="AF19" i="1"/>
  <c r="AC17" i="1"/>
  <c r="AF14" i="1"/>
  <c r="AE12" i="1"/>
  <c r="AD10" i="1"/>
  <c r="AD8" i="1"/>
  <c r="AC6" i="1"/>
  <c r="AE44" i="1"/>
  <c r="AD41" i="1"/>
  <c r="AC38" i="1"/>
  <c r="AB35" i="1"/>
  <c r="AF31" i="1"/>
  <c r="AD29" i="1"/>
  <c r="AF26" i="1"/>
  <c r="AD24" i="1"/>
  <c r="AE21" i="1"/>
  <c r="AB19" i="1"/>
  <c r="AE16" i="1"/>
  <c r="AC14" i="1"/>
  <c r="AB12" i="1"/>
  <c r="AB10" i="1"/>
  <c r="AF7" i="1"/>
  <c r="AD48" i="1"/>
  <c r="AC45" i="1"/>
  <c r="AB42" i="1"/>
  <c r="AF38" i="1"/>
  <c r="AE35" i="1"/>
  <c r="AD32" i="1"/>
  <c r="AE29" i="1"/>
  <c r="AB27" i="1"/>
  <c r="AE24" i="1"/>
  <c r="AB22" i="1"/>
  <c r="AE19" i="1"/>
  <c r="AF16" i="1"/>
  <c r="AD14" i="1"/>
  <c r="AD12" i="1"/>
  <c r="AC10" i="1"/>
  <c r="AB8" i="1"/>
  <c r="B3" i="2"/>
  <c r="G6" i="2"/>
  <c r="F5" i="2"/>
  <c r="E4" i="2"/>
  <c r="D3" i="2"/>
  <c r="F6" i="2"/>
  <c r="E5" i="2"/>
  <c r="D4" i="2"/>
  <c r="C3" i="2"/>
  <c r="C6" i="2"/>
  <c r="B5" i="2"/>
  <c r="H3" i="2"/>
  <c r="B6" i="2"/>
  <c r="H4" i="2"/>
  <c r="G3" i="2"/>
  <c r="H6" i="2"/>
  <c r="F4" i="2"/>
  <c r="B4" i="2"/>
  <c r="E6" i="2"/>
  <c r="C4" i="2"/>
  <c r="D6" i="2"/>
  <c r="H5" i="2"/>
  <c r="F3" i="2"/>
  <c r="G5" i="2"/>
  <c r="E3" i="2"/>
  <c r="D5" i="2"/>
  <c r="G4" i="2"/>
  <c r="C5" i="2"/>
  <c r="V6" i="1"/>
  <c r="Z48" i="1"/>
  <c r="W47" i="1"/>
  <c r="Y45" i="1"/>
  <c r="V44" i="1"/>
  <c r="X42" i="1"/>
  <c r="Z40" i="1"/>
  <c r="W39" i="1"/>
  <c r="Y37" i="1"/>
  <c r="V36" i="1"/>
  <c r="X34" i="1"/>
  <c r="Z32" i="1"/>
  <c r="W31" i="1"/>
  <c r="Y29" i="1"/>
  <c r="V28" i="1"/>
  <c r="X26" i="1"/>
  <c r="Z24" i="1"/>
  <c r="W23" i="1"/>
  <c r="Y21" i="1"/>
  <c r="V20" i="1"/>
  <c r="X18" i="1"/>
  <c r="Z16" i="1"/>
  <c r="W15" i="1"/>
  <c r="Y13" i="1"/>
  <c r="V12" i="1"/>
  <c r="X10" i="1"/>
  <c r="Z8" i="1"/>
  <c r="W7" i="1"/>
  <c r="Y49" i="1"/>
  <c r="V48" i="1"/>
  <c r="X46" i="1"/>
  <c r="Z44" i="1"/>
  <c r="W43" i="1"/>
  <c r="Y41" i="1"/>
  <c r="V40" i="1"/>
  <c r="X38" i="1"/>
  <c r="Z36" i="1"/>
  <c r="W35" i="1"/>
  <c r="Y33" i="1"/>
  <c r="V32" i="1"/>
  <c r="X30" i="1"/>
  <c r="Z28" i="1"/>
  <c r="W27" i="1"/>
  <c r="Y25" i="1"/>
  <c r="V24" i="1"/>
  <c r="X22" i="1"/>
  <c r="Z20" i="1"/>
  <c r="W19" i="1"/>
  <c r="Y17" i="1"/>
  <c r="V16" i="1"/>
  <c r="X14" i="1"/>
  <c r="Z12" i="1"/>
  <c r="W11" i="1"/>
  <c r="Y9" i="1"/>
  <c r="V8" i="1"/>
  <c r="X6" i="1"/>
  <c r="W49" i="1"/>
  <c r="V47" i="1"/>
  <c r="V45" i="1"/>
  <c r="Z42" i="1"/>
  <c r="Y40" i="1"/>
  <c r="Y38" i="1"/>
  <c r="X36" i="1"/>
  <c r="W34" i="1"/>
  <c r="W32" i="1"/>
  <c r="V30" i="1"/>
  <c r="Z27" i="1"/>
  <c r="Z25" i="1"/>
  <c r="Y23" i="1"/>
  <c r="X21" i="1"/>
  <c r="X19" i="1"/>
  <c r="W17" i="1"/>
  <c r="V15" i="1"/>
  <c r="V13" i="1"/>
  <c r="Z10" i="1"/>
  <c r="Y8" i="1"/>
  <c r="Y6" i="1"/>
  <c r="Y48" i="1"/>
  <c r="X44" i="1"/>
  <c r="W40" i="1"/>
  <c r="Z35" i="1"/>
  <c r="Z33" i="1"/>
  <c r="X29" i="1"/>
  <c r="W25" i="1"/>
  <c r="Y16" i="1"/>
  <c r="V49" i="1"/>
  <c r="Z46" i="1"/>
  <c r="Y44" i="1"/>
  <c r="Y42" i="1"/>
  <c r="X40" i="1"/>
  <c r="W38" i="1"/>
  <c r="W36" i="1"/>
  <c r="V34" i="1"/>
  <c r="Z31" i="1"/>
  <c r="Z29" i="1"/>
  <c r="Y27" i="1"/>
  <c r="X25" i="1"/>
  <c r="X23" i="1"/>
  <c r="W21" i="1"/>
  <c r="V19" i="1"/>
  <c r="V17" i="1"/>
  <c r="Z14" i="1"/>
  <c r="Y12" i="1"/>
  <c r="Y10" i="1"/>
  <c r="X8" i="1"/>
  <c r="W6" i="1"/>
  <c r="Y46" i="1"/>
  <c r="W42" i="1"/>
  <c r="V38" i="1"/>
  <c r="Y31" i="1"/>
  <c r="X27" i="1"/>
  <c r="V23" i="1"/>
  <c r="V21" i="1"/>
  <c r="Z18" i="1"/>
  <c r="Y14" i="1"/>
  <c r="X12" i="1"/>
  <c r="W10" i="1"/>
  <c r="W8" i="1"/>
  <c r="X48" i="1"/>
  <c r="W46" i="1"/>
  <c r="W44" i="1"/>
  <c r="V42" i="1"/>
  <c r="Z39" i="1"/>
  <c r="Z37" i="1"/>
  <c r="Y35" i="1"/>
  <c r="X33" i="1"/>
  <c r="X31" i="1"/>
  <c r="W29" i="1"/>
  <c r="V27" i="1"/>
  <c r="V25" i="1"/>
  <c r="Z22" i="1"/>
  <c r="Y20" i="1"/>
  <c r="Y18" i="1"/>
  <c r="X16" i="1"/>
  <c r="W14" i="1"/>
  <c r="W12" i="1"/>
  <c r="V10" i="1"/>
  <c r="Z7" i="1"/>
  <c r="X24" i="1"/>
  <c r="Y34" i="1"/>
  <c r="X17" i="1"/>
  <c r="V9" i="1"/>
  <c r="W48" i="1"/>
  <c r="V46" i="1"/>
  <c r="Z43" i="1"/>
  <c r="Z41" i="1"/>
  <c r="Y39" i="1"/>
  <c r="X37" i="1"/>
  <c r="X35" i="1"/>
  <c r="W33" i="1"/>
  <c r="V31" i="1"/>
  <c r="V29" i="1"/>
  <c r="Z26" i="1"/>
  <c r="Y24" i="1"/>
  <c r="Y22" i="1"/>
  <c r="X20" i="1"/>
  <c r="W18" i="1"/>
  <c r="W16" i="1"/>
  <c r="V14" i="1"/>
  <c r="Z11" i="1"/>
  <c r="Z9" i="1"/>
  <c r="Y7" i="1"/>
  <c r="Y28" i="1"/>
  <c r="W45" i="1"/>
  <c r="X32" i="1"/>
  <c r="V26" i="1"/>
  <c r="Y19" i="1"/>
  <c r="W13" i="1"/>
  <c r="Z6" i="1"/>
  <c r="Z47" i="1"/>
  <c r="Z45" i="1"/>
  <c r="Y43" i="1"/>
  <c r="X41" i="1"/>
  <c r="X39" i="1"/>
  <c r="W37" i="1"/>
  <c r="V35" i="1"/>
  <c r="V33" i="1"/>
  <c r="Z30" i="1"/>
  <c r="Y26" i="1"/>
  <c r="W22" i="1"/>
  <c r="W20" i="1"/>
  <c r="V18" i="1"/>
  <c r="Z15" i="1"/>
  <c r="Z13" i="1"/>
  <c r="Y11" i="1"/>
  <c r="X9" i="1"/>
  <c r="X7" i="1"/>
  <c r="X49" i="1"/>
  <c r="X47" i="1"/>
  <c r="V43" i="1"/>
  <c r="V41" i="1"/>
  <c r="Z38" i="1"/>
  <c r="Y36" i="1"/>
  <c r="W30" i="1"/>
  <c r="W28" i="1"/>
  <c r="Z23" i="1"/>
  <c r="Z21" i="1"/>
  <c r="X15" i="1"/>
  <c r="V11" i="1"/>
  <c r="Z49" i="1"/>
  <c r="Y47" i="1"/>
  <c r="X45" i="1"/>
  <c r="X43" i="1"/>
  <c r="W41" i="1"/>
  <c r="V39" i="1"/>
  <c r="V37" i="1"/>
  <c r="Z34" i="1"/>
  <c r="Y32" i="1"/>
  <c r="Y30" i="1"/>
  <c r="X28" i="1"/>
  <c r="W26" i="1"/>
  <c r="W24" i="1"/>
  <c r="V22" i="1"/>
  <c r="Z19" i="1"/>
  <c r="Z17" i="1"/>
  <c r="Y15" i="1"/>
  <c r="X13" i="1"/>
  <c r="X11" i="1"/>
  <c r="W9" i="1"/>
  <c r="V7" i="1"/>
</calcChain>
</file>

<file path=xl/metadata.xml><?xml version="1.0" encoding="utf-8"?>
<metadata xmlns="http://schemas.openxmlformats.org/spreadsheetml/2006/main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xmlns:xda="http://schemas.microsoft.com/office/spreadsheetml/2017/dynamicarray"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<sst xmlns="http://schemas.openxmlformats.org/spreadsheetml/2006/main" count="35" uniqueCount="31">
  <si>
    <t>Today</t>
  </si>
  <si>
    <t>Set date</t>
  </si>
  <si>
    <t>Disc curve</t>
  </si>
  <si>
    <t>Proj curve</t>
  </si>
  <si>
    <t>Euribor</t>
  </si>
  <si>
    <t>Start date</t>
  </si>
  <si>
    <t>End date</t>
  </si>
  <si>
    <t>Schedule</t>
  </si>
  <si>
    <t>Simple CF</t>
  </si>
  <si>
    <t>Estr</t>
  </si>
  <si>
    <t>Estr leg</t>
  </si>
  <si>
    <t>Cap</t>
  </si>
  <si>
    <t>Floor</t>
  </si>
  <si>
    <t>Estr coupons</t>
  </si>
  <si>
    <t>Capped/Floored Estr leg</t>
  </si>
  <si>
    <t>OptionletVol</t>
  </si>
  <si>
    <t>Set Pricer</t>
  </si>
  <si>
    <t>OIS Pricer</t>
  </si>
  <si>
    <t>Ibor Pricer</t>
  </si>
  <si>
    <t>Euribor leg</t>
  </si>
  <si>
    <t>Euribor coupons</t>
  </si>
  <si>
    <t>Capped/Floored Ibor leg</t>
  </si>
  <si>
    <t>qlCashFlowsAnalysisColumns</t>
  </si>
  <si>
    <t>C/F Euribor leg</t>
  </si>
  <si>
    <t>FixingDate</t>
  </si>
  <si>
    <t>AccrualStartDate</t>
  </si>
  <si>
    <t>AccrualEndDate</t>
  </si>
  <si>
    <t>Date</t>
  </si>
  <si>
    <t>Amount</t>
  </si>
  <si>
    <t>DiscountFactor</t>
  </si>
  <si>
    <t>Npv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</si>
</sst>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"/>
  </numFmts>
  <fonts count="4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name val="Aptos Narrow"/>
      <family val="2"/>
      <scheme val="minor"/>
    </font>
    <font>
      <b/>
      <sz val="1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14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left"/>
    </xf>
    <xf numFmtId="9" fontId="0" fillId="0" borderId="0" xfId="0" applyNumberFormat="1" applyAlignment="1">
      <alignment horizontal="right"/>
    </xf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left"/>
    </xf>
    <xf numFmtId="0" fontId="3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14" fontId="0" fillId="0" borderId="0" xfId="0" applyNumberFormat="1"/>
    <xf numFmtId="2" fontId="0" fillId="0" borderId="0" xfId="0" applyNumberFormat="1"/>
    <xf numFmtId="164" fontId="0" fillId="0" borderId="0" xfId="0" applyNumberForma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97FEEA-55C2-4F0F-957C-481EBBA772B7}">
  <dimension ref="A1:AF50"/>
  <sheetViews>
    <sheetView tabSelected="1" workbookViewId="0">
      <selection activeCell="B6" sqref="B6"/>
    </sheetView>
  </sheetViews>
  <sheetFormatPr baseColWidth="10" defaultColWidth="9" defaultRowHeight="14.25"/>
  <cols>
    <col min="1" max="1" width="22.5" bestFit="1" customWidth="1"/>
    <col min="2" max="2" width="64.125" style="2" customWidth="1"/>
    <col min="3" max="3" width="23.125" customWidth="1"/>
    <col min="5" max="5" width="28.5" style="6" bestFit="1" customWidth="1"/>
    <col min="6" max="6" width="17.5" style="2" bestFit="1" customWidth="1"/>
    <col min="7" max="7" width="28.5" style="2" bestFit="1" customWidth="1"/>
    <col min="8" max="8" width="17.5" style="2" bestFit="1" customWidth="1"/>
    <col min="9" max="9" width="17.5" bestFit="1" customWidth="1"/>
    <col min="10" max="10" width="28.5" bestFit="1" customWidth="1"/>
    <col min="11" max="11" width="17.5" bestFit="1" customWidth="1"/>
    <col min="16" max="16" width="28.5" bestFit="1" customWidth="1"/>
    <col min="22" max="22" width="28.5" bestFit="1" customWidth="1"/>
    <col min="28" max="28" width="28.5" bestFit="1" customWidth="1"/>
  </cols>
  <sheetData>
    <row r="1" spans="1:32">
      <c r="A1" t="s">
        <v>0</v>
      </c>
      <c r="B1" s="1">
        <v>46174</v>
      </c>
    </row>
    <row r="2" spans="1:32">
      <c r="A2" t="s">
        <v>1</v>
      </c>
      <c r="B2" s="1" cm="1">
        <f t="array" ref="B2">_xll.qlSettingsSetEvaluationDate(B1)</f>
        <v>46174</v>
      </c>
    </row>
    <row r="4" spans="1:32" ht="15">
      <c r="A4" t="s">
        <v>2</v>
      </c>
      <c r="B4" s="2" t="str">
        <f>_xll.qlFlatForward($B$2,0.03,"actual365fixed")</f>
        <v>欣[test_cashflows_analysis.xlsx]qlCashFlowsAnalysis!R4C2YieldTermStructureHandle,A</v>
      </c>
      <c r="E4" s="8" t="s">
        <v>22</v>
      </c>
      <c r="G4" s="10" t="s">
        <v>8</v>
      </c>
      <c r="J4" s="5" t="s">
        <v>19</v>
      </c>
      <c r="P4" s="5" t="s">
        <v>10</v>
      </c>
      <c r="V4" s="5" t="s">
        <v>23</v>
      </c>
      <c r="AB4" s="5" t="s">
        <v>23</v>
      </c>
    </row>
    <row r="5" spans="1:32">
      <c r="A5" t="s">
        <v>3</v>
      </c>
      <c r="B5" s="2" t="str">
        <f>_xll.qlFlatForward($B$2,0.03,"actual365fixed")</f>
        <v>欣[test_cashflows_analysis.xlsx]qlCashFlowsAnalysis!R5C2YieldTermStructureHandle,A</v>
      </c>
    </row>
    <row r="6" spans="1:32">
      <c r="E6" s="7" t="str" cm="1">
        <f t="array" ref="E6:E49">_xll.qlCashFlowsAnalysisColumns()</f>
        <v>AMOUNT</v>
      </c>
      <c r="F6"/>
      <c r="G6" s="3" t="e" cm="1">
        <f t="array" aca="1" ref="G6:H49" ca="1">TRANSPOSE(_xll.qlCashFlowsAnalysis(B14,_xlfn.ANCHORARRAY(E6),B4))</f>
        <v>#VALUE!</v>
      </c>
      <c r="H6" s="2" t="e">
        <f ca="1"/>
        <v>#VALUE!</v>
      </c>
      <c r="J6" t="e" cm="1">
        <f t="array" aca="1" ref="J6:N49" ca="1">TRANSPOSE(_xll.qlCashFlowsAnalysis(B15,_xlfn.ANCHORARRAY(E6),B4))</f>
        <v>#VALUE!</v>
      </c>
      <c r="K6" t="e">
        <f ca="1"/>
        <v>#VALUE!</v>
      </c>
      <c r="L6" t="e">
        <f ca="1"/>
        <v>#VALUE!</v>
      </c>
      <c r="M6" t="e">
        <f ca="1"/>
        <v>#VALUE!</v>
      </c>
      <c r="N6" t="e">
        <f ca="1"/>
        <v>#VALUE!</v>
      </c>
      <c r="P6" t="e" cm="1">
        <f t="array" aca="1" ref="P6:T49" ca="1">TRANSPOSE(_xll.qlCashFlowsAnalysis(B16,_xlfn.ANCHORARRAY(E6),B4))</f>
        <v>#VALUE!</v>
      </c>
      <c r="Q6" t="e">
        <f ca="1"/>
        <v>#VALUE!</v>
      </c>
      <c r="R6" t="e">
        <f ca="1"/>
        <v>#VALUE!</v>
      </c>
      <c r="S6" t="e">
        <f ca="1"/>
        <v>#VALUE!</v>
      </c>
      <c r="T6" t="e">
        <f ca="1"/>
        <v>#VALUE!</v>
      </c>
      <c r="V6" t="e" cm="1">
        <f t="array" aca="1" ref="V6:Z49" ca="1">TRANSPOSE(_xll.qlCashFlowsAnalysis(B30,_xlfn.ANCHORARRAY(E6),B4,,B29))</f>
        <v>#VALUE!</v>
      </c>
      <c r="W6" t="e">
        <f ca="1"/>
        <v>#VALUE!</v>
      </c>
      <c r="X6" t="e">
        <f ca="1"/>
        <v>#VALUE!</v>
      </c>
      <c r="Y6" t="e">
        <f ca="1"/>
        <v>#VALUE!</v>
      </c>
      <c r="Z6" t="e">
        <f ca="1"/>
        <v>#VALUE!</v>
      </c>
      <c r="AB6" t="e" cm="1">
        <f t="array" aca="1" ref="AB6:AF49" ca="1">TRANSPOSE(_xll.qlCashFlowsAnalysis(B37,_xlfn.ANCHORARRAY(E6),B4,,B36))</f>
        <v>#VALUE!</v>
      </c>
      <c r="AC6" t="e">
        <f ca="1"/>
        <v>#VALUE!</v>
      </c>
      <c r="AD6" t="e">
        <f ca="1"/>
        <v>#VALUE!</v>
      </c>
      <c r="AE6" t="e">
        <f ca="1"/>
        <v>#VALUE!</v>
      </c>
      <c r="AF6" t="e">
        <f ca="1"/>
        <v>#VALUE!</v>
      </c>
    </row>
    <row r="7" spans="1:32">
      <c r="A7" t="s">
        <v>9</v>
      </c>
      <c r="B7" s="2" t="str" cm="1">
        <f t="array" ref="B7">_xll.qlEstr(B5)</f>
        <v>欣[test_cashflows_analysis.xlsx]qlCashFlowsAnalysis!R7C2Estr,A</v>
      </c>
      <c r="E7" s="6" t="str">
        <v>DATE</v>
      </c>
      <c r="G7" s="3" t="e">
        <f ca="1"/>
        <v>#VALUE!</v>
      </c>
      <c r="H7" s="2" t="e">
        <f ca="1"/>
        <v>#VALUE!</v>
      </c>
      <c r="J7" t="e">
        <f ca="1"/>
        <v>#VALUE!</v>
      </c>
      <c r="K7" t="e">
        <f ca="1"/>
        <v>#VALUE!</v>
      </c>
      <c r="L7" t="e">
        <f ca="1"/>
        <v>#VALUE!</v>
      </c>
      <c r="M7" t="e">
        <f ca="1"/>
        <v>#VALUE!</v>
      </c>
      <c r="N7" t="e">
        <f ca="1"/>
        <v>#VALUE!</v>
      </c>
      <c r="P7" t="e">
        <f ca="1"/>
        <v>#VALUE!</v>
      </c>
      <c r="Q7" t="e">
        <f ca="1"/>
        <v>#VALUE!</v>
      </c>
      <c r="R7" t="e">
        <f ca="1"/>
        <v>#VALUE!</v>
      </c>
      <c r="S7" t="e">
        <f ca="1"/>
        <v>#VALUE!</v>
      </c>
      <c r="T7" t="e">
        <f ca="1"/>
        <v>#VALUE!</v>
      </c>
      <c r="V7" t="e">
        <f ca="1"/>
        <v>#VALUE!</v>
      </c>
      <c r="W7" t="e">
        <f ca="1"/>
        <v>#VALUE!</v>
      </c>
      <c r="X7" t="e">
        <f ca="1"/>
        <v>#VALUE!</v>
      </c>
      <c r="Y7" t="e">
        <f ca="1"/>
        <v>#VALUE!</v>
      </c>
      <c r="Z7" t="e">
        <f ca="1"/>
        <v>#VALUE!</v>
      </c>
      <c r="AB7" t="e">
        <f ca="1"/>
        <v>#VALUE!</v>
      </c>
      <c r="AC7" t="e">
        <f ca="1"/>
        <v>#VALUE!</v>
      </c>
      <c r="AD7" t="e">
        <f ca="1"/>
        <v>#VALUE!</v>
      </c>
      <c r="AE7" t="e">
        <f ca="1"/>
        <v>#VALUE!</v>
      </c>
      <c r="AF7" t="e">
        <f ca="1"/>
        <v>#VALUE!</v>
      </c>
    </row>
    <row r="8" spans="1:32">
      <c r="A8" t="s">
        <v>4</v>
      </c>
      <c r="B8" s="2" t="str" cm="1">
        <f t="array" ref="B8">_xll.qlEuribor("3m",B5,B2)</f>
        <v>欣[test_cashflows_analysis.xlsx]qlCashFlowsAnalysis!R8C2Euribor,A</v>
      </c>
      <c r="E8" s="6" t="str">
        <v>NOMINAL</v>
      </c>
      <c r="G8" s="3" t="e">
        <f ca="1"/>
        <v>#VALUE!</v>
      </c>
      <c r="H8" s="2" t="e">
        <f ca="1"/>
        <v>#VALUE!</v>
      </c>
      <c r="J8" t="e">
        <f ca="1"/>
        <v>#VALUE!</v>
      </c>
      <c r="K8" t="e">
        <f ca="1"/>
        <v>#VALUE!</v>
      </c>
      <c r="L8" t="e">
        <f ca="1"/>
        <v>#VALUE!</v>
      </c>
      <c r="M8" t="e">
        <f ca="1"/>
        <v>#VALUE!</v>
      </c>
      <c r="N8" t="e">
        <f ca="1"/>
        <v>#VALUE!</v>
      </c>
      <c r="P8" t="e">
        <f ca="1"/>
        <v>#VALUE!</v>
      </c>
      <c r="Q8" t="e">
        <f ca="1"/>
        <v>#VALUE!</v>
      </c>
      <c r="R8" t="e">
        <f ca="1"/>
        <v>#VALUE!</v>
      </c>
      <c r="S8" t="e">
        <f ca="1"/>
        <v>#VALUE!</v>
      </c>
      <c r="T8" t="e">
        <f ca="1"/>
        <v>#VALUE!</v>
      </c>
      <c r="V8" t="e">
        <f ca="1"/>
        <v>#VALUE!</v>
      </c>
      <c r="W8" t="e">
        <f ca="1"/>
        <v>#VALUE!</v>
      </c>
      <c r="X8" t="e">
        <f ca="1"/>
        <v>#VALUE!</v>
      </c>
      <c r="Y8" t="e">
        <f ca="1"/>
        <v>#VALUE!</v>
      </c>
      <c r="Z8" t="e">
        <f ca="1"/>
        <v>#VALUE!</v>
      </c>
      <c r="AB8" t="e">
        <f ca="1"/>
        <v>#VALUE!</v>
      </c>
      <c r="AC8" t="e">
        <f ca="1"/>
        <v>#VALUE!</v>
      </c>
      <c r="AD8" t="e">
        <f ca="1"/>
        <v>#VALUE!</v>
      </c>
      <c r="AE8" t="e">
        <f ca="1"/>
        <v>#VALUE!</v>
      </c>
      <c r="AF8" t="e">
        <f ca="1"/>
        <v>#VALUE!</v>
      </c>
    </row>
    <row r="9" spans="1:32">
      <c r="E9" s="6" t="str">
        <v>ACCRUALSTARTDATE</v>
      </c>
      <c r="G9" s="3" t="e">
        <f ca="1"/>
        <v>#VALUE!</v>
      </c>
      <c r="H9" s="2" t="e">
        <f ca="1"/>
        <v>#VALUE!</v>
      </c>
      <c r="J9" t="e">
        <f ca="1"/>
        <v>#VALUE!</v>
      </c>
      <c r="K9" t="e">
        <f ca="1"/>
        <v>#VALUE!</v>
      </c>
      <c r="L9" t="e">
        <f ca="1"/>
        <v>#VALUE!</v>
      </c>
      <c r="M9" t="e">
        <f ca="1"/>
        <v>#VALUE!</v>
      </c>
      <c r="N9" t="e">
        <f ca="1"/>
        <v>#VALUE!</v>
      </c>
      <c r="P9" t="e">
        <f ca="1"/>
        <v>#VALUE!</v>
      </c>
      <c r="Q9" t="e">
        <f ca="1"/>
        <v>#VALUE!</v>
      </c>
      <c r="R9" t="e">
        <f ca="1"/>
        <v>#VALUE!</v>
      </c>
      <c r="S9" t="e">
        <f ca="1"/>
        <v>#VALUE!</v>
      </c>
      <c r="T9" t="e">
        <f ca="1"/>
        <v>#VALUE!</v>
      </c>
      <c r="V9" t="e">
        <f ca="1"/>
        <v>#VALUE!</v>
      </c>
      <c r="W9" t="e">
        <f ca="1"/>
        <v>#VALUE!</v>
      </c>
      <c r="X9" t="e">
        <f ca="1"/>
        <v>#VALUE!</v>
      </c>
      <c r="Y9" t="e">
        <f ca="1"/>
        <v>#VALUE!</v>
      </c>
      <c r="Z9" t="e">
        <f ca="1"/>
        <v>#VALUE!</v>
      </c>
      <c r="AB9" t="e">
        <f ca="1"/>
        <v>#VALUE!</v>
      </c>
      <c r="AC9" t="e">
        <f ca="1"/>
        <v>#VALUE!</v>
      </c>
      <c r="AD9" t="e">
        <f ca="1"/>
        <v>#VALUE!</v>
      </c>
      <c r="AE9" t="e">
        <f ca="1"/>
        <v>#VALUE!</v>
      </c>
      <c r="AF9" t="e">
        <f ca="1"/>
        <v>#VALUE!</v>
      </c>
    </row>
    <row r="10" spans="1:32">
      <c r="A10" t="s">
        <v>5</v>
      </c>
      <c r="B10" s="1">
        <f>B1+2</f>
        <v>46176</v>
      </c>
      <c r="E10" s="6" t="str">
        <v>ACCRUALENDDATE</v>
      </c>
      <c r="G10" s="3" t="e">
        <f ca="1"/>
        <v>#VALUE!</v>
      </c>
      <c r="H10" s="2" t="e">
        <f ca="1"/>
        <v>#VALUE!</v>
      </c>
      <c r="J10" t="e">
        <f ca="1"/>
        <v>#VALUE!</v>
      </c>
      <c r="K10" t="e">
        <f ca="1"/>
        <v>#VALUE!</v>
      </c>
      <c r="L10" t="e">
        <f ca="1"/>
        <v>#VALUE!</v>
      </c>
      <c r="M10" t="e">
        <f ca="1"/>
        <v>#VALUE!</v>
      </c>
      <c r="N10" t="e">
        <f ca="1"/>
        <v>#VALUE!</v>
      </c>
      <c r="P10" t="e">
        <f ca="1"/>
        <v>#VALUE!</v>
      </c>
      <c r="Q10" t="e">
        <f ca="1"/>
        <v>#VALUE!</v>
      </c>
      <c r="R10" t="e">
        <f ca="1"/>
        <v>#VALUE!</v>
      </c>
      <c r="S10" t="e">
        <f ca="1"/>
        <v>#VALUE!</v>
      </c>
      <c r="T10" t="e">
        <f ca="1"/>
        <v>#VALUE!</v>
      </c>
      <c r="V10" t="e">
        <f ca="1"/>
        <v>#VALUE!</v>
      </c>
      <c r="W10" t="e">
        <f ca="1"/>
        <v>#VALUE!</v>
      </c>
      <c r="X10" t="e">
        <f ca="1"/>
        <v>#VALUE!</v>
      </c>
      <c r="Y10" t="e">
        <f ca="1"/>
        <v>#VALUE!</v>
      </c>
      <c r="Z10" t="e">
        <f ca="1"/>
        <v>#VALUE!</v>
      </c>
      <c r="AB10" t="e">
        <f ca="1"/>
        <v>#VALUE!</v>
      </c>
      <c r="AC10" t="e">
        <f ca="1"/>
        <v>#VALUE!</v>
      </c>
      <c r="AD10" t="e">
        <f ca="1"/>
        <v>#VALUE!</v>
      </c>
      <c r="AE10" t="e">
        <f ca="1"/>
        <v>#VALUE!</v>
      </c>
      <c r="AF10" t="e">
        <f ca="1"/>
        <v>#VALUE!</v>
      </c>
    </row>
    <row r="11" spans="1:32">
      <c r="A11" t="s">
        <v>6</v>
      </c>
      <c r="B11" s="1" cm="1">
        <f t="array" ref="B11">_xll.qlCalendarAdvance("Target",B10,"1y")</f>
        <v>46541</v>
      </c>
      <c r="E11" s="6" t="str">
        <v>REFERENCEPERIODSTART</v>
      </c>
      <c r="G11" s="3" t="e">
        <f ca="1"/>
        <v>#VALUE!</v>
      </c>
      <c r="H11" s="2" t="e">
        <f ca="1"/>
        <v>#VALUE!</v>
      </c>
      <c r="J11" t="e">
        <f ca="1"/>
        <v>#VALUE!</v>
      </c>
      <c r="K11" t="e">
        <f ca="1"/>
        <v>#VALUE!</v>
      </c>
      <c r="L11" t="e">
        <f ca="1"/>
        <v>#VALUE!</v>
      </c>
      <c r="M11" t="e">
        <f ca="1"/>
        <v>#VALUE!</v>
      </c>
      <c r="N11" t="e">
        <f ca="1"/>
        <v>#VALUE!</v>
      </c>
      <c r="P11" t="e">
        <f ca="1"/>
        <v>#VALUE!</v>
      </c>
      <c r="Q11" t="e">
        <f ca="1"/>
        <v>#VALUE!</v>
      </c>
      <c r="R11" t="e">
        <f ca="1"/>
        <v>#VALUE!</v>
      </c>
      <c r="S11" t="e">
        <f ca="1"/>
        <v>#VALUE!</v>
      </c>
      <c r="T11" t="e">
        <f ca="1"/>
        <v>#VALUE!</v>
      </c>
      <c r="V11" t="e">
        <f ca="1"/>
        <v>#VALUE!</v>
      </c>
      <c r="W11" t="e">
        <f ca="1"/>
        <v>#VALUE!</v>
      </c>
      <c r="X11" t="e">
        <f ca="1"/>
        <v>#VALUE!</v>
      </c>
      <c r="Y11" t="e">
        <f ca="1"/>
        <v>#VALUE!</v>
      </c>
      <c r="Z11" t="e">
        <f ca="1"/>
        <v>#VALUE!</v>
      </c>
      <c r="AB11" t="e">
        <f ca="1"/>
        <v>#VALUE!</v>
      </c>
      <c r="AC11" t="e">
        <f ca="1"/>
        <v>#VALUE!</v>
      </c>
      <c r="AD11" t="e">
        <f ca="1"/>
        <v>#VALUE!</v>
      </c>
      <c r="AE11" t="e">
        <f ca="1"/>
        <v>#VALUE!</v>
      </c>
      <c r="AF11" t="e">
        <f ca="1"/>
        <v>#VALUE!</v>
      </c>
    </row>
    <row r="12" spans="1:32">
      <c r="A12" t="s">
        <v>7</v>
      </c>
      <c r="B12" s="2" t="str" cm="1">
        <f t="array" ref="B12">_xll.qlMakeSchedule(B10,B11,"3m",,"Target")</f>
        <v>欣[test_cashflows_analysis.xlsx]qlCashFlowsAnalysis!R12C2Schedule,A</v>
      </c>
      <c r="E12" s="6" t="str">
        <v>REFERENCEPERIODEND</v>
      </c>
      <c r="G12" s="3" t="e">
        <f ca="1"/>
        <v>#VALUE!</v>
      </c>
      <c r="H12" s="2" t="e">
        <f ca="1"/>
        <v>#VALUE!</v>
      </c>
      <c r="J12" t="e">
        <f ca="1"/>
        <v>#VALUE!</v>
      </c>
      <c r="K12" t="e">
        <f ca="1"/>
        <v>#VALUE!</v>
      </c>
      <c r="L12" t="e">
        <f ca="1"/>
        <v>#VALUE!</v>
      </c>
      <c r="M12" t="e">
        <f ca="1"/>
        <v>#VALUE!</v>
      </c>
      <c r="N12" t="e">
        <f ca="1"/>
        <v>#VALUE!</v>
      </c>
      <c r="P12" t="e">
        <f ca="1"/>
        <v>#VALUE!</v>
      </c>
      <c r="Q12" t="e">
        <f ca="1"/>
        <v>#VALUE!</v>
      </c>
      <c r="R12" t="e">
        <f ca="1"/>
        <v>#VALUE!</v>
      </c>
      <c r="S12" t="e">
        <f ca="1"/>
        <v>#VALUE!</v>
      </c>
      <c r="T12" t="e">
        <f ca="1"/>
        <v>#VALUE!</v>
      </c>
      <c r="V12" t="e">
        <f ca="1"/>
        <v>#VALUE!</v>
      </c>
      <c r="W12" t="e">
        <f ca="1"/>
        <v>#VALUE!</v>
      </c>
      <c r="X12" t="e">
        <f ca="1"/>
        <v>#VALUE!</v>
      </c>
      <c r="Y12" t="e">
        <f ca="1"/>
        <v>#VALUE!</v>
      </c>
      <c r="Z12" t="e">
        <f ca="1"/>
        <v>#VALUE!</v>
      </c>
      <c r="AB12" t="e">
        <f ca="1"/>
        <v>#VALUE!</v>
      </c>
      <c r="AC12" t="e">
        <f ca="1"/>
        <v>#VALUE!</v>
      </c>
      <c r="AD12" t="e">
        <f ca="1"/>
        <v>#VALUE!</v>
      </c>
      <c r="AE12" t="e">
        <f ca="1"/>
        <v>#VALUE!</v>
      </c>
      <c r="AF12" t="e">
        <f ca="1"/>
        <v>#VALUE!</v>
      </c>
    </row>
    <row r="13" spans="1:32">
      <c r="E13" s="6" t="str">
        <v>EXCOUPONDATE</v>
      </c>
      <c r="G13" s="3" t="e">
        <f ca="1"/>
        <v>#VALUE!</v>
      </c>
      <c r="H13" s="2" t="e">
        <f ca="1"/>
        <v>#VALUE!</v>
      </c>
      <c r="J13" t="e">
        <f ca="1"/>
        <v>#VALUE!</v>
      </c>
      <c r="K13" t="e">
        <f ca="1"/>
        <v>#VALUE!</v>
      </c>
      <c r="L13" t="e">
        <f ca="1"/>
        <v>#VALUE!</v>
      </c>
      <c r="M13" t="e">
        <f ca="1"/>
        <v>#VALUE!</v>
      </c>
      <c r="N13" t="e">
        <f ca="1"/>
        <v>#VALUE!</v>
      </c>
      <c r="P13" t="e">
        <f ca="1"/>
        <v>#VALUE!</v>
      </c>
      <c r="Q13" t="e">
        <f ca="1"/>
        <v>#VALUE!</v>
      </c>
      <c r="R13" t="e">
        <f ca="1"/>
        <v>#VALUE!</v>
      </c>
      <c r="S13" t="e">
        <f ca="1"/>
        <v>#VALUE!</v>
      </c>
      <c r="T13" t="e">
        <f ca="1"/>
        <v>#VALUE!</v>
      </c>
      <c r="V13" t="e">
        <f ca="1"/>
        <v>#VALUE!</v>
      </c>
      <c r="W13" t="e">
        <f ca="1"/>
        <v>#VALUE!</v>
      </c>
      <c r="X13" t="e">
        <f ca="1"/>
        <v>#VALUE!</v>
      </c>
      <c r="Y13" t="e">
        <f ca="1"/>
        <v>#VALUE!</v>
      </c>
      <c r="Z13" t="e">
        <f ca="1"/>
        <v>#VALUE!</v>
      </c>
      <c r="AB13" t="e">
        <f ca="1"/>
        <v>#VALUE!</v>
      </c>
      <c r="AC13" t="e">
        <f ca="1"/>
        <v>#VALUE!</v>
      </c>
      <c r="AD13" t="e">
        <f ca="1"/>
        <v>#VALUE!</v>
      </c>
      <c r="AE13" t="e">
        <f ca="1"/>
        <v>#VALUE!</v>
      </c>
      <c r="AF13" t="e">
        <f ca="1"/>
        <v>#VALUE!</v>
      </c>
    </row>
    <row r="14" spans="1:32" ht="15">
      <c r="A14" s="5" t="s">
        <v>8</v>
      </c>
      <c r="B14" s="2" t="str" cm="1">
        <f t="array" ref="B14">_xll.qlSimpleCashFlow(100,B11,B2)</f>
        <v>欣[test_cashflows_analysis.xlsx]qlCashFlowsAnalysis!R14C2SimpleCashFlow,A</v>
      </c>
      <c r="E14" s="6" t="str">
        <v>RATE</v>
      </c>
      <c r="G14" s="3" t="e">
        <f ca="1"/>
        <v>#VALUE!</v>
      </c>
      <c r="H14" s="2" t="e">
        <f ca="1"/>
        <v>#VALUE!</v>
      </c>
      <c r="J14" t="e">
        <f ca="1"/>
        <v>#VALUE!</v>
      </c>
      <c r="K14" t="e">
        <f ca="1"/>
        <v>#VALUE!</v>
      </c>
      <c r="L14" t="e">
        <f ca="1"/>
        <v>#VALUE!</v>
      </c>
      <c r="M14" t="e">
        <f ca="1"/>
        <v>#VALUE!</v>
      </c>
      <c r="N14" t="e">
        <f ca="1"/>
        <v>#VALUE!</v>
      </c>
      <c r="P14" t="e">
        <f ca="1"/>
        <v>#VALUE!</v>
      </c>
      <c r="Q14" t="e">
        <f ca="1"/>
        <v>#VALUE!</v>
      </c>
      <c r="R14" t="e">
        <f ca="1"/>
        <v>#VALUE!</v>
      </c>
      <c r="S14" t="e">
        <f ca="1"/>
        <v>#VALUE!</v>
      </c>
      <c r="T14" t="e">
        <f ca="1"/>
        <v>#VALUE!</v>
      </c>
      <c r="V14" t="e">
        <f ca="1"/>
        <v>#VALUE!</v>
      </c>
      <c r="W14" t="e">
        <f ca="1"/>
        <v>#VALUE!</v>
      </c>
      <c r="X14" t="e">
        <f ca="1"/>
        <v>#VALUE!</v>
      </c>
      <c r="Y14" t="e">
        <f ca="1"/>
        <v>#VALUE!</v>
      </c>
      <c r="Z14" t="e">
        <f ca="1"/>
        <v>#VALUE!</v>
      </c>
      <c r="AB14" t="e">
        <f ca="1"/>
        <v>#VALUE!</v>
      </c>
      <c r="AC14" t="e">
        <f ca="1"/>
        <v>#VALUE!</v>
      </c>
      <c r="AD14" t="e">
        <f ca="1"/>
        <v>#VALUE!</v>
      </c>
      <c r="AE14" t="e">
        <f ca="1"/>
        <v>#VALUE!</v>
      </c>
      <c r="AF14" t="e">
        <f ca="1"/>
        <v>#VALUE!</v>
      </c>
    </row>
    <row r="15" spans="1:32" ht="15">
      <c r="A15" s="5" t="s">
        <v>19</v>
      </c>
      <c r="B15" s="2" t="str" cm="1">
        <f t="array" ref="B15">_xll.xloRef(_xll.qlIborLeg(10000,B12,B8))</f>
        <v>永[test_cashflows_analysis.xlsx]qlCashFlowsAnalysis!R15C2,A</v>
      </c>
      <c r="E15" s="6" t="str">
        <v>ACCRUALPERIOD</v>
      </c>
      <c r="G15" s="3" t="e">
        <f ca="1"/>
        <v>#VALUE!</v>
      </c>
      <c r="H15" s="2" t="e">
        <f ca="1"/>
        <v>#VALUE!</v>
      </c>
      <c r="J15" t="e">
        <f ca="1"/>
        <v>#VALUE!</v>
      </c>
      <c r="K15" t="e">
        <f ca="1"/>
        <v>#VALUE!</v>
      </c>
      <c r="L15" t="e">
        <f ca="1"/>
        <v>#VALUE!</v>
      </c>
      <c r="M15" t="e">
        <f ca="1"/>
        <v>#VALUE!</v>
      </c>
      <c r="N15" t="e">
        <f ca="1"/>
        <v>#VALUE!</v>
      </c>
      <c r="P15" t="e">
        <f ca="1"/>
        <v>#VALUE!</v>
      </c>
      <c r="Q15" t="e">
        <f ca="1"/>
        <v>#VALUE!</v>
      </c>
      <c r="R15" t="e">
        <f ca="1"/>
        <v>#VALUE!</v>
      </c>
      <c r="S15" t="e">
        <f ca="1"/>
        <v>#VALUE!</v>
      </c>
      <c r="T15" t="e">
        <f ca="1"/>
        <v>#VALUE!</v>
      </c>
      <c r="V15" t="e">
        <f ca="1"/>
        <v>#VALUE!</v>
      </c>
      <c r="W15" t="e">
        <f ca="1"/>
        <v>#VALUE!</v>
      </c>
      <c r="X15" t="e">
        <f ca="1"/>
        <v>#VALUE!</v>
      </c>
      <c r="Y15" t="e">
        <f ca="1"/>
        <v>#VALUE!</v>
      </c>
      <c r="Z15" t="e">
        <f ca="1"/>
        <v>#VALUE!</v>
      </c>
      <c r="AB15" t="e">
        <f ca="1"/>
        <v>#VALUE!</v>
      </c>
      <c r="AC15" t="e">
        <f ca="1"/>
        <v>#VALUE!</v>
      </c>
      <c r="AD15" t="e">
        <f ca="1"/>
        <v>#VALUE!</v>
      </c>
      <c r="AE15" t="e">
        <f ca="1"/>
        <v>#VALUE!</v>
      </c>
      <c r="AF15" t="e">
        <f ca="1"/>
        <v>#VALUE!</v>
      </c>
    </row>
    <row r="16" spans="1:32" ht="15">
      <c r="A16" s="5" t="s">
        <v>10</v>
      </c>
      <c r="B16" s="2" t="str" cm="1">
        <f t="array" aca="1" ref="B16" ca="1">_xll.xloRef(_xlfn.ANCHORARRAY(B32))</f>
        <v>永[test_cashflows_analysis.xlsx]qlCashFlowsAnalysis!R16C2,A</v>
      </c>
      <c r="E16" s="6" t="str">
        <v>ACCRUALDAYS</v>
      </c>
      <c r="G16" s="3" t="e">
        <f ca="1"/>
        <v>#VALUE!</v>
      </c>
      <c r="H16" s="2" t="e">
        <f ca="1"/>
        <v>#VALUE!</v>
      </c>
      <c r="J16" t="e">
        <f ca="1"/>
        <v>#VALUE!</v>
      </c>
      <c r="K16" t="e">
        <f ca="1"/>
        <v>#VALUE!</v>
      </c>
      <c r="L16" t="e">
        <f ca="1"/>
        <v>#VALUE!</v>
      </c>
      <c r="M16" t="e">
        <f ca="1"/>
        <v>#VALUE!</v>
      </c>
      <c r="N16" t="e">
        <f ca="1"/>
        <v>#VALUE!</v>
      </c>
      <c r="P16" t="e">
        <f ca="1"/>
        <v>#VALUE!</v>
      </c>
      <c r="Q16" t="e">
        <f ca="1"/>
        <v>#VALUE!</v>
      </c>
      <c r="R16" t="e">
        <f ca="1"/>
        <v>#VALUE!</v>
      </c>
      <c r="S16" t="e">
        <f ca="1"/>
        <v>#VALUE!</v>
      </c>
      <c r="T16" t="e">
        <f ca="1"/>
        <v>#VALUE!</v>
      </c>
      <c r="V16" t="e">
        <f ca="1"/>
        <v>#VALUE!</v>
      </c>
      <c r="W16" t="e">
        <f ca="1"/>
        <v>#VALUE!</v>
      </c>
      <c r="X16" t="e">
        <f ca="1"/>
        <v>#VALUE!</v>
      </c>
      <c r="Y16" t="e">
        <f ca="1"/>
        <v>#VALUE!</v>
      </c>
      <c r="Z16" t="e">
        <f ca="1"/>
        <v>#VALUE!</v>
      </c>
      <c r="AB16" t="e">
        <f ca="1"/>
        <v>#VALUE!</v>
      </c>
      <c r="AC16" t="e">
        <f ca="1"/>
        <v>#VALUE!</v>
      </c>
      <c r="AD16" t="e">
        <f ca="1"/>
        <v>#VALUE!</v>
      </c>
      <c r="AE16" t="e">
        <f ca="1"/>
        <v>#VALUE!</v>
      </c>
      <c r="AF16" t="e">
        <f ca="1"/>
        <v>#VALUE!</v>
      </c>
    </row>
    <row r="17" spans="1:32">
      <c r="E17" s="6" t="str">
        <v>DAYCOUNTER</v>
      </c>
      <c r="G17" s="3" t="e">
        <f ca="1"/>
        <v>#VALUE!</v>
      </c>
      <c r="H17" s="2" t="e">
        <f ca="1"/>
        <v>#VALUE!</v>
      </c>
      <c r="J17" t="e">
        <f ca="1"/>
        <v>#VALUE!</v>
      </c>
      <c r="K17" t="e">
        <f ca="1"/>
        <v>#VALUE!</v>
      </c>
      <c r="L17" t="e">
        <f ca="1"/>
        <v>#VALUE!</v>
      </c>
      <c r="M17" t="e">
        <f ca="1"/>
        <v>#VALUE!</v>
      </c>
      <c r="N17" t="e">
        <f ca="1"/>
        <v>#VALUE!</v>
      </c>
      <c r="P17" t="e">
        <f ca="1"/>
        <v>#VALUE!</v>
      </c>
      <c r="Q17" t="e">
        <f ca="1"/>
        <v>#VALUE!</v>
      </c>
      <c r="R17" t="e">
        <f ca="1"/>
        <v>#VALUE!</v>
      </c>
      <c r="S17" t="e">
        <f ca="1"/>
        <v>#VALUE!</v>
      </c>
      <c r="T17" t="e">
        <f ca="1"/>
        <v>#VALUE!</v>
      </c>
      <c r="V17" t="e">
        <f ca="1"/>
        <v>#VALUE!</v>
      </c>
      <c r="W17" t="e">
        <f ca="1"/>
        <v>#VALUE!</v>
      </c>
      <c r="X17" t="e">
        <f ca="1"/>
        <v>#VALUE!</v>
      </c>
      <c r="Y17" t="e">
        <f ca="1"/>
        <v>#VALUE!</v>
      </c>
      <c r="Z17" t="e">
        <f ca="1"/>
        <v>#VALUE!</v>
      </c>
      <c r="AB17" t="e">
        <f ca="1"/>
        <v>#VALUE!</v>
      </c>
      <c r="AC17" t="e">
        <f ca="1"/>
        <v>#VALUE!</v>
      </c>
      <c r="AD17" t="e">
        <f ca="1"/>
        <v>#VALUE!</v>
      </c>
      <c r="AE17" t="e">
        <f ca="1"/>
        <v>#VALUE!</v>
      </c>
      <c r="AF17" t="e">
        <f ca="1"/>
        <v>#VALUE!</v>
      </c>
    </row>
    <row r="18" spans="1:32">
      <c r="A18" t="s">
        <v>11</v>
      </c>
      <c r="B18" s="4">
        <v>0.03</v>
      </c>
      <c r="E18" s="6" t="str">
        <v>ACCRUEDAMOUNT</v>
      </c>
      <c r="G18" s="3" t="e">
        <f ca="1"/>
        <v>#VALUE!</v>
      </c>
      <c r="H18" s="2" t="e">
        <f ca="1"/>
        <v>#VALUE!</v>
      </c>
      <c r="J18" t="e">
        <f ca="1"/>
        <v>#VALUE!</v>
      </c>
      <c r="K18" t="e">
        <f ca="1"/>
        <v>#VALUE!</v>
      </c>
      <c r="L18" t="e">
        <f ca="1"/>
        <v>#VALUE!</v>
      </c>
      <c r="M18" t="e">
        <f ca="1"/>
        <v>#VALUE!</v>
      </c>
      <c r="N18" t="e">
        <f ca="1"/>
        <v>#VALUE!</v>
      </c>
      <c r="P18" t="e">
        <f ca="1"/>
        <v>#VALUE!</v>
      </c>
      <c r="Q18" t="e">
        <f ca="1"/>
        <v>#VALUE!</v>
      </c>
      <c r="R18" t="e">
        <f ca="1"/>
        <v>#VALUE!</v>
      </c>
      <c r="S18" t="e">
        <f ca="1"/>
        <v>#VALUE!</v>
      </c>
      <c r="T18" t="e">
        <f ca="1"/>
        <v>#VALUE!</v>
      </c>
      <c r="V18" t="e">
        <f ca="1"/>
        <v>#VALUE!</v>
      </c>
      <c r="W18" t="e">
        <f ca="1"/>
        <v>#VALUE!</v>
      </c>
      <c r="X18" t="e">
        <f ca="1"/>
        <v>#VALUE!</v>
      </c>
      <c r="Y18" t="e">
        <f ca="1"/>
        <v>#VALUE!</v>
      </c>
      <c r="Z18" t="e">
        <f ca="1"/>
        <v>#VALUE!</v>
      </c>
      <c r="AB18" t="e">
        <f ca="1"/>
        <v>#VALUE!</v>
      </c>
      <c r="AC18" t="e">
        <f ca="1"/>
        <v>#VALUE!</v>
      </c>
      <c r="AD18" t="e">
        <f ca="1"/>
        <v>#VALUE!</v>
      </c>
      <c r="AE18" t="e">
        <f ca="1"/>
        <v>#VALUE!</v>
      </c>
      <c r="AF18" t="e">
        <f ca="1"/>
        <v>#VALUE!</v>
      </c>
    </row>
    <row r="19" spans="1:32">
      <c r="A19" t="s">
        <v>12</v>
      </c>
      <c r="B19" s="4">
        <v>0</v>
      </c>
      <c r="E19" s="6" t="str">
        <v>FIXINGDATE</v>
      </c>
      <c r="G19" s="3" t="e">
        <f ca="1"/>
        <v>#VALUE!</v>
      </c>
      <c r="H19" s="2" t="e">
        <f ca="1"/>
        <v>#VALUE!</v>
      </c>
      <c r="J19" t="e">
        <f ca="1"/>
        <v>#VALUE!</v>
      </c>
      <c r="K19" t="e">
        <f ca="1"/>
        <v>#VALUE!</v>
      </c>
      <c r="L19" t="e">
        <f ca="1"/>
        <v>#VALUE!</v>
      </c>
      <c r="M19" t="e">
        <f ca="1"/>
        <v>#VALUE!</v>
      </c>
      <c r="N19" t="e">
        <f ca="1"/>
        <v>#VALUE!</v>
      </c>
      <c r="P19" t="e">
        <f ca="1"/>
        <v>#VALUE!</v>
      </c>
      <c r="Q19" t="e">
        <f ca="1"/>
        <v>#VALUE!</v>
      </c>
      <c r="R19" t="e">
        <f ca="1"/>
        <v>#VALUE!</v>
      </c>
      <c r="S19" t="e">
        <f ca="1"/>
        <v>#VALUE!</v>
      </c>
      <c r="T19" t="e">
        <f ca="1"/>
        <v>#VALUE!</v>
      </c>
      <c r="V19" t="e">
        <f ca="1"/>
        <v>#VALUE!</v>
      </c>
      <c r="W19" t="e">
        <f ca="1"/>
        <v>#VALUE!</v>
      </c>
      <c r="X19" t="e">
        <f ca="1"/>
        <v>#VALUE!</v>
      </c>
      <c r="Y19" t="e">
        <f ca="1"/>
        <v>#VALUE!</v>
      </c>
      <c r="Z19" t="e">
        <f ca="1"/>
        <v>#VALUE!</v>
      </c>
      <c r="AB19" t="e">
        <f ca="1"/>
        <v>#VALUE!</v>
      </c>
      <c r="AC19" t="e">
        <f ca="1"/>
        <v>#VALUE!</v>
      </c>
      <c r="AD19" t="e">
        <f ca="1"/>
        <v>#VALUE!</v>
      </c>
      <c r="AE19" t="e">
        <f ca="1"/>
        <v>#VALUE!</v>
      </c>
      <c r="AF19" t="e">
        <f ca="1"/>
        <v>#VALUE!</v>
      </c>
    </row>
    <row r="20" spans="1:32">
      <c r="B20" s="4"/>
      <c r="E20" s="6" t="str">
        <v>FIXINGDAYS</v>
      </c>
      <c r="G20" s="3" t="e">
        <f ca="1"/>
        <v>#VALUE!</v>
      </c>
      <c r="H20" s="2" t="e">
        <f ca="1"/>
        <v>#VALUE!</v>
      </c>
      <c r="J20" t="e">
        <f ca="1"/>
        <v>#VALUE!</v>
      </c>
      <c r="K20" t="e">
        <f ca="1"/>
        <v>#VALUE!</v>
      </c>
      <c r="L20" t="e">
        <f ca="1"/>
        <v>#VALUE!</v>
      </c>
      <c r="M20" t="e">
        <f ca="1"/>
        <v>#VALUE!</v>
      </c>
      <c r="N20" t="e">
        <f ca="1"/>
        <v>#VALUE!</v>
      </c>
      <c r="P20" t="e">
        <f ca="1"/>
        <v>#VALUE!</v>
      </c>
      <c r="Q20" t="e">
        <f ca="1"/>
        <v>#VALUE!</v>
      </c>
      <c r="R20" t="e">
        <f ca="1"/>
        <v>#VALUE!</v>
      </c>
      <c r="S20" t="e">
        <f ca="1"/>
        <v>#VALUE!</v>
      </c>
      <c r="T20" t="e">
        <f ca="1"/>
        <v>#VALUE!</v>
      </c>
      <c r="V20" t="e">
        <f ca="1"/>
        <v>#VALUE!</v>
      </c>
      <c r="W20" t="e">
        <f ca="1"/>
        <v>#VALUE!</v>
      </c>
      <c r="X20" t="e">
        <f ca="1"/>
        <v>#VALUE!</v>
      </c>
      <c r="Y20" t="e">
        <f ca="1"/>
        <v>#VALUE!</v>
      </c>
      <c r="Z20" t="e">
        <f ca="1"/>
        <v>#VALUE!</v>
      </c>
      <c r="AB20" t="e">
        <f ca="1"/>
        <v>#VALUE!</v>
      </c>
      <c r="AC20" t="e">
        <f ca="1"/>
        <v>#VALUE!</v>
      </c>
      <c r="AD20" t="e">
        <f ca="1"/>
        <v>#VALUE!</v>
      </c>
      <c r="AE20" t="e">
        <f ca="1"/>
        <v>#VALUE!</v>
      </c>
      <c r="AF20" t="e">
        <f ca="1"/>
        <v>#VALUE!</v>
      </c>
    </row>
    <row r="21" spans="1:32">
      <c r="A21" t="s">
        <v>15</v>
      </c>
      <c r="B21" s="4" t="str" cm="1">
        <f t="array" ref="B21">_xll.qlConstantOptionletVolatility(B2,"NullCalendar","Unadjusted",0.01,"Act/365","Normal")</f>
        <v>欣[test_cashflows_analysis.xlsx]qlCashFlowsAnalysis!R21C2OptionletVolatilityStructureHandle,A</v>
      </c>
      <c r="E21" s="6" t="str">
        <v>FIXINGCONVENTION</v>
      </c>
      <c r="G21" s="3" t="e">
        <f ca="1"/>
        <v>#VALUE!</v>
      </c>
      <c r="H21" s="2" t="e">
        <f ca="1"/>
        <v>#VALUE!</v>
      </c>
      <c r="J21" t="e">
        <f ca="1"/>
        <v>#VALUE!</v>
      </c>
      <c r="K21" t="e">
        <f ca="1"/>
        <v>#VALUE!</v>
      </c>
      <c r="L21" t="e">
        <f ca="1"/>
        <v>#VALUE!</v>
      </c>
      <c r="M21" t="e">
        <f ca="1"/>
        <v>#VALUE!</v>
      </c>
      <c r="N21" t="e">
        <f ca="1"/>
        <v>#VALUE!</v>
      </c>
      <c r="P21" t="e">
        <f ca="1"/>
        <v>#VALUE!</v>
      </c>
      <c r="Q21" t="e">
        <f ca="1"/>
        <v>#VALUE!</v>
      </c>
      <c r="R21" t="e">
        <f ca="1"/>
        <v>#VALUE!</v>
      </c>
      <c r="S21" t="e">
        <f ca="1"/>
        <v>#VALUE!</v>
      </c>
      <c r="T21" t="e">
        <f ca="1"/>
        <v>#VALUE!</v>
      </c>
      <c r="V21" t="e">
        <f ca="1"/>
        <v>#VALUE!</v>
      </c>
      <c r="W21" t="e">
        <f ca="1"/>
        <v>#VALUE!</v>
      </c>
      <c r="X21" t="e">
        <f ca="1"/>
        <v>#VALUE!</v>
      </c>
      <c r="Y21" t="e">
        <f ca="1"/>
        <v>#VALUE!</v>
      </c>
      <c r="Z21" t="e">
        <f ca="1"/>
        <v>#VALUE!</v>
      </c>
      <c r="AB21" t="e">
        <f ca="1"/>
        <v>#VALUE!</v>
      </c>
      <c r="AC21" t="e">
        <f ca="1"/>
        <v>#VALUE!</v>
      </c>
      <c r="AD21" t="e">
        <f ca="1"/>
        <v>#VALUE!</v>
      </c>
      <c r="AE21" t="e">
        <f ca="1"/>
        <v>#VALUE!</v>
      </c>
      <c r="AF21" t="e">
        <f ca="1"/>
        <v>#VALUE!</v>
      </c>
    </row>
    <row r="22" spans="1:32">
      <c r="A22" t="s">
        <v>18</v>
      </c>
      <c r="B22" s="4" t="str" cm="1">
        <f t="array" ref="B22">_xll.qlBlackIborCouponPricer(B21)</f>
        <v>欣[test_cashflows_analysis.xlsx]qlCashFlowsAnalysis!R22C2BlackIborCouponPricer,A</v>
      </c>
      <c r="E22" s="6" t="str">
        <v>ISINARREARS</v>
      </c>
      <c r="G22" s="3" t="e">
        <f ca="1"/>
        <v>#VALUE!</v>
      </c>
      <c r="H22" s="2" t="e">
        <f ca="1"/>
        <v>#VALUE!</v>
      </c>
      <c r="J22" t="e">
        <f ca="1"/>
        <v>#VALUE!</v>
      </c>
      <c r="K22" t="e">
        <f ca="1"/>
        <v>#VALUE!</v>
      </c>
      <c r="L22" t="e">
        <f ca="1"/>
        <v>#VALUE!</v>
      </c>
      <c r="M22" t="e">
        <f ca="1"/>
        <v>#VALUE!</v>
      </c>
      <c r="N22" t="e">
        <f ca="1"/>
        <v>#VALUE!</v>
      </c>
      <c r="P22" t="e">
        <f ca="1"/>
        <v>#VALUE!</v>
      </c>
      <c r="Q22" t="e">
        <f ca="1"/>
        <v>#VALUE!</v>
      </c>
      <c r="R22" t="e">
        <f ca="1"/>
        <v>#VALUE!</v>
      </c>
      <c r="S22" t="e">
        <f ca="1"/>
        <v>#VALUE!</v>
      </c>
      <c r="T22" t="e">
        <f ca="1"/>
        <v>#VALUE!</v>
      </c>
      <c r="V22" t="e">
        <f ca="1"/>
        <v>#VALUE!</v>
      </c>
      <c r="W22" t="e">
        <f ca="1"/>
        <v>#VALUE!</v>
      </c>
      <c r="X22" t="e">
        <f ca="1"/>
        <v>#VALUE!</v>
      </c>
      <c r="Y22" t="e">
        <f ca="1"/>
        <v>#VALUE!</v>
      </c>
      <c r="Z22" t="e">
        <f ca="1"/>
        <v>#VALUE!</v>
      </c>
      <c r="AB22" t="e">
        <f ca="1"/>
        <v>#VALUE!</v>
      </c>
      <c r="AC22" t="e">
        <f ca="1"/>
        <v>#VALUE!</v>
      </c>
      <c r="AD22" t="e">
        <f ca="1"/>
        <v>#VALUE!</v>
      </c>
      <c r="AE22" t="e">
        <f ca="1"/>
        <v>#VALUE!</v>
      </c>
      <c r="AF22" t="e">
        <f ca="1"/>
        <v>#VALUE!</v>
      </c>
    </row>
    <row r="23" spans="1:32">
      <c r="A23" t="s">
        <v>17</v>
      </c>
      <c r="B23" s="4" t="str" cm="1">
        <f t="array" ref="B23">_xll.qlBlackCompoundingOvernightIndexedCouponPricer(B21)</f>
        <v>欣[test_cashflows_analysis.xlsx]qlCashFlowsAnalysis!R23C2BlackCompoundingOvernightIndexedCouponPricer,A</v>
      </c>
      <c r="E23" s="6" t="str">
        <v>GEARING</v>
      </c>
      <c r="G23" s="3" t="e">
        <f ca="1"/>
        <v>#VALUE!</v>
      </c>
      <c r="H23" s="2" t="e">
        <f ca="1"/>
        <v>#VALUE!</v>
      </c>
      <c r="J23" t="e">
        <f ca="1"/>
        <v>#VALUE!</v>
      </c>
      <c r="K23" t="e">
        <f ca="1"/>
        <v>#VALUE!</v>
      </c>
      <c r="L23" t="e">
        <f ca="1"/>
        <v>#VALUE!</v>
      </c>
      <c r="M23" t="e">
        <f ca="1"/>
        <v>#VALUE!</v>
      </c>
      <c r="N23" t="e">
        <f ca="1"/>
        <v>#VALUE!</v>
      </c>
      <c r="P23" t="e">
        <f ca="1"/>
        <v>#VALUE!</v>
      </c>
      <c r="Q23" t="e">
        <f ca="1"/>
        <v>#VALUE!</v>
      </c>
      <c r="R23" t="e">
        <f ca="1"/>
        <v>#VALUE!</v>
      </c>
      <c r="S23" t="e">
        <f ca="1"/>
        <v>#VALUE!</v>
      </c>
      <c r="T23" t="e">
        <f ca="1"/>
        <v>#VALUE!</v>
      </c>
      <c r="V23" t="e">
        <f ca="1"/>
        <v>#VALUE!</v>
      </c>
      <c r="W23" t="e">
        <f ca="1"/>
        <v>#VALUE!</v>
      </c>
      <c r="X23" t="e">
        <f ca="1"/>
        <v>#VALUE!</v>
      </c>
      <c r="Y23" t="e">
        <f ca="1"/>
        <v>#VALUE!</v>
      </c>
      <c r="Z23" t="e">
        <f ca="1"/>
        <v>#VALUE!</v>
      </c>
      <c r="AB23" t="e">
        <f ca="1"/>
        <v>#VALUE!</v>
      </c>
      <c r="AC23" t="e">
        <f ca="1"/>
        <v>#VALUE!</v>
      </c>
      <c r="AD23" t="e">
        <f ca="1"/>
        <v>#VALUE!</v>
      </c>
      <c r="AE23" t="e">
        <f ca="1"/>
        <v>#VALUE!</v>
      </c>
      <c r="AF23" t="e">
        <f ca="1"/>
        <v>#VALUE!</v>
      </c>
    </row>
    <row r="24" spans="1:32">
      <c r="B24" s="4"/>
      <c r="E24" s="6" t="str">
        <v>SPREAD</v>
      </c>
      <c r="G24" s="3" t="e">
        <f ca="1"/>
        <v>#VALUE!</v>
      </c>
      <c r="H24" s="2" t="e">
        <f ca="1"/>
        <v>#VALUE!</v>
      </c>
      <c r="J24" t="e">
        <f ca="1"/>
        <v>#VALUE!</v>
      </c>
      <c r="K24" t="e">
        <f ca="1"/>
        <v>#VALUE!</v>
      </c>
      <c r="L24" t="e">
        <f ca="1"/>
        <v>#VALUE!</v>
      </c>
      <c r="M24" t="e">
        <f ca="1"/>
        <v>#VALUE!</v>
      </c>
      <c r="N24" t="e">
        <f ca="1"/>
        <v>#VALUE!</v>
      </c>
      <c r="P24" t="e">
        <f ca="1"/>
        <v>#VALUE!</v>
      </c>
      <c r="Q24" t="e">
        <f ca="1"/>
        <v>#VALUE!</v>
      </c>
      <c r="R24" t="e">
        <f ca="1"/>
        <v>#VALUE!</v>
      </c>
      <c r="S24" t="e">
        <f ca="1"/>
        <v>#VALUE!</v>
      </c>
      <c r="T24" t="e">
        <f ca="1"/>
        <v>#VALUE!</v>
      </c>
      <c r="V24" t="e">
        <f ca="1"/>
        <v>#VALUE!</v>
      </c>
      <c r="W24" t="e">
        <f ca="1"/>
        <v>#VALUE!</v>
      </c>
      <c r="X24" t="e">
        <f ca="1"/>
        <v>#VALUE!</v>
      </c>
      <c r="Y24" t="e">
        <f ca="1"/>
        <v>#VALUE!</v>
      </c>
      <c r="Z24" t="e">
        <f ca="1"/>
        <v>#VALUE!</v>
      </c>
      <c r="AB24" t="e">
        <f ca="1"/>
        <v>#VALUE!</v>
      </c>
      <c r="AC24" t="e">
        <f ca="1"/>
        <v>#VALUE!</v>
      </c>
      <c r="AD24" t="e">
        <f ca="1"/>
        <v>#VALUE!</v>
      </c>
      <c r="AE24" t="e">
        <f ca="1"/>
        <v>#VALUE!</v>
      </c>
      <c r="AF24" t="e">
        <f ca="1"/>
        <v>#VALUE!</v>
      </c>
    </row>
    <row r="25" spans="1:32">
      <c r="A25" t="s">
        <v>20</v>
      </c>
      <c r="B25" s="2" t="str" cm="1">
        <f t="array" ref="B25:B28">_xll.xloVal(B15)</f>
        <v>欣[test_cashflows_analysis.xlsx]qlCashFlowsAnalysis!R15C2CashFlow,A</v>
      </c>
      <c r="C25" s="2" t="str" cm="1">
        <f t="array" ref="C25">_xll.qlCappedFlooredCoupon(_xll.qlAsFloatingRateCoupon(B25),$B$18,$B$19)</f>
        <v>欣[test_cashflows_analysis.xlsx]qlCashFlowsAnalysis!R25C3CappedFlooredCoupon,A</v>
      </c>
      <c r="E25" s="6" t="str">
        <v>INDEXFIXING</v>
      </c>
      <c r="G25" s="3" t="e">
        <f ca="1"/>
        <v>#VALUE!</v>
      </c>
      <c r="H25" s="2" t="e">
        <f ca="1"/>
        <v>#VALUE!</v>
      </c>
      <c r="J25" t="e">
        <f ca="1"/>
        <v>#VALUE!</v>
      </c>
      <c r="K25" t="e">
        <f ca="1"/>
        <v>#VALUE!</v>
      </c>
      <c r="L25" t="e">
        <f ca="1"/>
        <v>#VALUE!</v>
      </c>
      <c r="M25" t="e">
        <f ca="1"/>
        <v>#VALUE!</v>
      </c>
      <c r="N25" t="e">
        <f ca="1"/>
        <v>#VALUE!</v>
      </c>
      <c r="P25" t="e">
        <f ca="1"/>
        <v>#VALUE!</v>
      </c>
      <c r="Q25" t="e">
        <f ca="1"/>
        <v>#VALUE!</v>
      </c>
      <c r="R25" t="e">
        <f ca="1"/>
        <v>#VALUE!</v>
      </c>
      <c r="S25" t="e">
        <f ca="1"/>
        <v>#VALUE!</v>
      </c>
      <c r="T25" t="e">
        <f ca="1"/>
        <v>#VALUE!</v>
      </c>
      <c r="V25" t="e">
        <f ca="1"/>
        <v>#VALUE!</v>
      </c>
      <c r="W25" t="e">
        <f ca="1"/>
        <v>#VALUE!</v>
      </c>
      <c r="X25" t="e">
        <f ca="1"/>
        <v>#VALUE!</v>
      </c>
      <c r="Y25" t="e">
        <f ca="1"/>
        <v>#VALUE!</v>
      </c>
      <c r="Z25" t="e">
        <f ca="1"/>
        <v>#VALUE!</v>
      </c>
      <c r="AB25" t="e">
        <f ca="1"/>
        <v>#VALUE!</v>
      </c>
      <c r="AC25" t="e">
        <f ca="1"/>
        <v>#VALUE!</v>
      </c>
      <c r="AD25" t="e">
        <f ca="1"/>
        <v>#VALUE!</v>
      </c>
      <c r="AE25" t="e">
        <f ca="1"/>
        <v>#VALUE!</v>
      </c>
      <c r="AF25" t="e">
        <f ca="1"/>
        <v>#VALUE!</v>
      </c>
    </row>
    <row r="26" spans="1:32">
      <c r="B26" s="2" t="str">
        <v>欣[test_cashflows_analysis.xlsx]qlCashFlowsAnalysis!R15C2CashFlow,B</v>
      </c>
      <c r="C26" s="2" t="str" cm="1">
        <f t="array" ref="C26">_xll.qlCappedFlooredCoupon(_xll.qlAsFloatingRateCoupon(B26),$B$18,$B$19)</f>
        <v>欣[test_cashflows_analysis.xlsx]qlCashFlowsAnalysis!R26C3CappedFlooredCoupon,A</v>
      </c>
      <c r="E26" s="6" t="str">
        <v>ADJUSTEDFIXING</v>
      </c>
      <c r="G26" s="3" t="e">
        <f ca="1"/>
        <v>#VALUE!</v>
      </c>
      <c r="H26" s="2" t="e">
        <f ca="1"/>
        <v>#VALUE!</v>
      </c>
      <c r="J26" t="e">
        <f ca="1"/>
        <v>#VALUE!</v>
      </c>
      <c r="K26" t="e">
        <f ca="1"/>
        <v>#VALUE!</v>
      </c>
      <c r="L26" t="e">
        <f ca="1"/>
        <v>#VALUE!</v>
      </c>
      <c r="M26" t="e">
        <f ca="1"/>
        <v>#VALUE!</v>
      </c>
      <c r="N26" t="e">
        <f ca="1"/>
        <v>#VALUE!</v>
      </c>
      <c r="P26" t="e">
        <f ca="1"/>
        <v>#VALUE!</v>
      </c>
      <c r="Q26" t="e">
        <f ca="1"/>
        <v>#VALUE!</v>
      </c>
      <c r="R26" t="e">
        <f ca="1"/>
        <v>#VALUE!</v>
      </c>
      <c r="S26" t="e">
        <f ca="1"/>
        <v>#VALUE!</v>
      </c>
      <c r="T26" t="e">
        <f ca="1"/>
        <v>#VALUE!</v>
      </c>
      <c r="V26" t="e">
        <f ca="1"/>
        <v>#VALUE!</v>
      </c>
      <c r="W26" t="e">
        <f ca="1"/>
        <v>#VALUE!</v>
      </c>
      <c r="X26" t="e">
        <f ca="1"/>
        <v>#VALUE!</v>
      </c>
      <c r="Y26" t="e">
        <f ca="1"/>
        <v>#VALUE!</v>
      </c>
      <c r="Z26" t="e">
        <f ca="1"/>
        <v>#VALUE!</v>
      </c>
      <c r="AB26" t="e">
        <f ca="1"/>
        <v>#VALUE!</v>
      </c>
      <c r="AC26" t="e">
        <f ca="1"/>
        <v>#VALUE!</v>
      </c>
      <c r="AD26" t="e">
        <f ca="1"/>
        <v>#VALUE!</v>
      </c>
      <c r="AE26" t="e">
        <f ca="1"/>
        <v>#VALUE!</v>
      </c>
      <c r="AF26" t="e">
        <f ca="1"/>
        <v>#VALUE!</v>
      </c>
    </row>
    <row r="27" spans="1:32">
      <c r="B27" s="2" t="str">
        <v>欣[test_cashflows_analysis.xlsx]qlCashFlowsAnalysis!R15C2CashFlow,C</v>
      </c>
      <c r="C27" s="2" t="str" cm="1">
        <f t="array" ref="C27">_xll.qlCappedFlooredCoupon(_xll.qlAsFloatingRateCoupon(B27),$B$18,$B$19)</f>
        <v>欣[test_cashflows_analysis.xlsx]qlCashFlowsAnalysis!R27C3CappedFlooredCoupon,A</v>
      </c>
      <c r="E27" s="6" t="str">
        <v>CONVEXITYADJUTMENT</v>
      </c>
      <c r="G27" s="3" t="e">
        <f ca="1"/>
        <v>#VALUE!</v>
      </c>
      <c r="H27" s="2" t="e">
        <f ca="1"/>
        <v>#VALUE!</v>
      </c>
      <c r="J27" t="e">
        <f ca="1"/>
        <v>#VALUE!</v>
      </c>
      <c r="K27" t="e">
        <f ca="1"/>
        <v>#VALUE!</v>
      </c>
      <c r="L27" t="e">
        <f ca="1"/>
        <v>#VALUE!</v>
      </c>
      <c r="M27" t="e">
        <f ca="1"/>
        <v>#VALUE!</v>
      </c>
      <c r="N27" t="e">
        <f ca="1"/>
        <v>#VALUE!</v>
      </c>
      <c r="P27" t="e">
        <f ca="1"/>
        <v>#VALUE!</v>
      </c>
      <c r="Q27" t="e">
        <f ca="1"/>
        <v>#VALUE!</v>
      </c>
      <c r="R27" t="e">
        <f ca="1"/>
        <v>#VALUE!</v>
      </c>
      <c r="S27" t="e">
        <f ca="1"/>
        <v>#VALUE!</v>
      </c>
      <c r="T27" t="e">
        <f ca="1"/>
        <v>#VALUE!</v>
      </c>
      <c r="V27" t="e">
        <f ca="1"/>
        <v>#VALUE!</v>
      </c>
      <c r="W27" t="e">
        <f ca="1"/>
        <v>#VALUE!</v>
      </c>
      <c r="X27" t="e">
        <f ca="1"/>
        <v>#VALUE!</v>
      </c>
      <c r="Y27" t="e">
        <f ca="1"/>
        <v>#VALUE!</v>
      </c>
      <c r="Z27" t="e">
        <f ca="1"/>
        <v>#VALUE!</v>
      </c>
      <c r="AB27" t="e">
        <f ca="1"/>
        <v>#VALUE!</v>
      </c>
      <c r="AC27" t="e">
        <f ca="1"/>
        <v>#VALUE!</v>
      </c>
      <c r="AD27" t="e">
        <f ca="1"/>
        <v>#VALUE!</v>
      </c>
      <c r="AE27" t="e">
        <f ca="1"/>
        <v>#VALUE!</v>
      </c>
      <c r="AF27" t="e">
        <f ca="1"/>
        <v>#VALUE!</v>
      </c>
    </row>
    <row r="28" spans="1:32">
      <c r="B28" s="2" t="str">
        <v>欣[test_cashflows_analysis.xlsx]qlCashFlowsAnalysis!R15C2CashFlow,D</v>
      </c>
      <c r="C28" s="2" t="str" cm="1">
        <f t="array" ref="C28">_xll.qlCappedFlooredCoupon(_xll.qlAsFloatingRateCoupon(B28),$B$18,$B$19)</f>
        <v>欣[test_cashflows_analysis.xlsx]qlCashFlowsAnalysis!R28C3CappedFlooredCoupon,A</v>
      </c>
      <c r="E28" s="6" t="str">
        <v>INDEX</v>
      </c>
      <c r="G28" s="3" t="e">
        <f ca="1"/>
        <v>#VALUE!</v>
      </c>
      <c r="H28" s="2" t="e">
        <f ca="1"/>
        <v>#VALUE!</v>
      </c>
      <c r="J28" t="e">
        <f ca="1"/>
        <v>#VALUE!</v>
      </c>
      <c r="K28" t="e">
        <f ca="1"/>
        <v>#VALUE!</v>
      </c>
      <c r="L28" t="e">
        <f ca="1"/>
        <v>#VALUE!</v>
      </c>
      <c r="M28" t="e">
        <f ca="1"/>
        <v>#VALUE!</v>
      </c>
      <c r="N28" t="e">
        <f ca="1"/>
        <v>#VALUE!</v>
      </c>
      <c r="P28" t="e">
        <f ca="1"/>
        <v>#VALUE!</v>
      </c>
      <c r="Q28" t="e">
        <f ca="1"/>
        <v>#VALUE!</v>
      </c>
      <c r="R28" t="e">
        <f ca="1"/>
        <v>#VALUE!</v>
      </c>
      <c r="S28" t="e">
        <f ca="1"/>
        <v>#VALUE!</v>
      </c>
      <c r="T28" t="e">
        <f ca="1"/>
        <v>#VALUE!</v>
      </c>
      <c r="V28" t="e">
        <f ca="1"/>
        <v>#VALUE!</v>
      </c>
      <c r="W28" t="e">
        <f ca="1"/>
        <v>#VALUE!</v>
      </c>
      <c r="X28" t="e">
        <f ca="1"/>
        <v>#VALUE!</v>
      </c>
      <c r="Y28" t="e">
        <f ca="1"/>
        <v>#VALUE!</v>
      </c>
      <c r="Z28" t="e">
        <f ca="1"/>
        <v>#VALUE!</v>
      </c>
      <c r="AB28" t="e">
        <f ca="1"/>
        <v>#VALUE!</v>
      </c>
      <c r="AC28" t="e">
        <f ca="1"/>
        <v>#VALUE!</v>
      </c>
      <c r="AD28" t="e">
        <f ca="1"/>
        <v>#VALUE!</v>
      </c>
      <c r="AE28" t="e">
        <f ca="1"/>
        <v>#VALUE!</v>
      </c>
      <c r="AF28" t="e">
        <f ca="1"/>
        <v>#VALUE!</v>
      </c>
    </row>
    <row r="29" spans="1:32">
      <c r="B29" s="2" t="b" cm="1">
        <f t="array" ref="B29">_xll.qlSetCouponPricer(C25:C28,B22)</f>
        <v>1</v>
      </c>
      <c r="E29" s="6" t="str">
        <v>ISCAPPED</v>
      </c>
      <c r="G29" s="3" t="e">
        <f ca="1"/>
        <v>#VALUE!</v>
      </c>
      <c r="H29" s="2" t="e">
        <f ca="1"/>
        <v>#VALUE!</v>
      </c>
      <c r="J29" t="e">
        <f ca="1"/>
        <v>#VALUE!</v>
      </c>
      <c r="K29" t="e">
        <f ca="1"/>
        <v>#VALUE!</v>
      </c>
      <c r="L29" t="e">
        <f ca="1"/>
        <v>#VALUE!</v>
      </c>
      <c r="M29" t="e">
        <f ca="1"/>
        <v>#VALUE!</v>
      </c>
      <c r="N29" t="e">
        <f ca="1"/>
        <v>#VALUE!</v>
      </c>
      <c r="P29" t="e">
        <f ca="1"/>
        <v>#VALUE!</v>
      </c>
      <c r="Q29" t="e">
        <f ca="1"/>
        <v>#VALUE!</v>
      </c>
      <c r="R29" t="e">
        <f ca="1"/>
        <v>#VALUE!</v>
      </c>
      <c r="S29" t="e">
        <f ca="1"/>
        <v>#VALUE!</v>
      </c>
      <c r="T29" t="e">
        <f ca="1"/>
        <v>#VALUE!</v>
      </c>
      <c r="V29" t="e">
        <f ca="1"/>
        <v>#VALUE!</v>
      </c>
      <c r="W29" t="e">
        <f ca="1"/>
        <v>#VALUE!</v>
      </c>
      <c r="X29" t="e">
        <f ca="1"/>
        <v>#VALUE!</v>
      </c>
      <c r="Y29" t="e">
        <f ca="1"/>
        <v>#VALUE!</v>
      </c>
      <c r="Z29" t="e">
        <f ca="1"/>
        <v>#VALUE!</v>
      </c>
      <c r="AB29" t="e">
        <f ca="1"/>
        <v>#VALUE!</v>
      </c>
      <c r="AC29" t="e">
        <f ca="1"/>
        <v>#VALUE!</v>
      </c>
      <c r="AD29" t="e">
        <f ca="1"/>
        <v>#VALUE!</v>
      </c>
      <c r="AE29" t="e">
        <f ca="1"/>
        <v>#VALUE!</v>
      </c>
      <c r="AF29" t="e">
        <f ca="1"/>
        <v>#VALUE!</v>
      </c>
    </row>
    <row r="30" spans="1:32" ht="15">
      <c r="A30" s="5" t="s">
        <v>21</v>
      </c>
      <c r="B30" s="2" t="str" cm="1">
        <f t="array" ref="B30">_xll.xloRef(C25:C28)</f>
        <v>永[test_cashflows_analysis.xlsx]qlCashFlowsAnalysis!R30C2,A</v>
      </c>
      <c r="E30" s="6" t="str">
        <v>ISFLOORED</v>
      </c>
      <c r="G30" s="3" t="e">
        <f ca="1"/>
        <v>#VALUE!</v>
      </c>
      <c r="H30" s="2" t="e">
        <f ca="1"/>
        <v>#VALUE!</v>
      </c>
      <c r="J30" t="e">
        <f ca="1"/>
        <v>#VALUE!</v>
      </c>
      <c r="K30" t="e">
        <f ca="1"/>
        <v>#VALUE!</v>
      </c>
      <c r="L30" t="e">
        <f ca="1"/>
        <v>#VALUE!</v>
      </c>
      <c r="M30" t="e">
        <f ca="1"/>
        <v>#VALUE!</v>
      </c>
      <c r="N30" t="e">
        <f ca="1"/>
        <v>#VALUE!</v>
      </c>
      <c r="P30" t="e">
        <f ca="1"/>
        <v>#VALUE!</v>
      </c>
      <c r="Q30" t="e">
        <f ca="1"/>
        <v>#VALUE!</v>
      </c>
      <c r="R30" t="e">
        <f ca="1"/>
        <v>#VALUE!</v>
      </c>
      <c r="S30" t="e">
        <f ca="1"/>
        <v>#VALUE!</v>
      </c>
      <c r="T30" t="e">
        <f ca="1"/>
        <v>#VALUE!</v>
      </c>
      <c r="V30" t="e">
        <f ca="1"/>
        <v>#VALUE!</v>
      </c>
      <c r="W30" t="e">
        <f ca="1"/>
        <v>#VALUE!</v>
      </c>
      <c r="X30" t="e">
        <f ca="1"/>
        <v>#VALUE!</v>
      </c>
      <c r="Y30" t="e">
        <f ca="1"/>
        <v>#VALUE!</v>
      </c>
      <c r="Z30" t="e">
        <f ca="1"/>
        <v>#VALUE!</v>
      </c>
      <c r="AB30" t="e">
        <f ca="1"/>
        <v>#VALUE!</v>
      </c>
      <c r="AC30" t="e">
        <f ca="1"/>
        <v>#VALUE!</v>
      </c>
      <c r="AD30" t="e">
        <f ca="1"/>
        <v>#VALUE!</v>
      </c>
      <c r="AE30" t="e">
        <f ca="1"/>
        <v>#VALUE!</v>
      </c>
      <c r="AF30" t="e">
        <f ca="1"/>
        <v>#VALUE!</v>
      </c>
    </row>
    <row r="31" spans="1:32">
      <c r="E31" s="6" t="str">
        <v>CAP</v>
      </c>
      <c r="G31" s="3" t="e">
        <f ca="1"/>
        <v>#VALUE!</v>
      </c>
      <c r="H31" s="2" t="e">
        <f ca="1"/>
        <v>#VALUE!</v>
      </c>
      <c r="J31" t="e">
        <f ca="1"/>
        <v>#VALUE!</v>
      </c>
      <c r="K31" t="e">
        <f ca="1"/>
        <v>#VALUE!</v>
      </c>
      <c r="L31" t="e">
        <f ca="1"/>
        <v>#VALUE!</v>
      </c>
      <c r="M31" t="e">
        <f ca="1"/>
        <v>#VALUE!</v>
      </c>
      <c r="N31" t="e">
        <f ca="1"/>
        <v>#VALUE!</v>
      </c>
      <c r="P31" t="e">
        <f ca="1"/>
        <v>#VALUE!</v>
      </c>
      <c r="Q31" t="e">
        <f ca="1"/>
        <v>#VALUE!</v>
      </c>
      <c r="R31" t="e">
        <f ca="1"/>
        <v>#VALUE!</v>
      </c>
      <c r="S31" t="e">
        <f ca="1"/>
        <v>#VALUE!</v>
      </c>
      <c r="T31" t="e">
        <f ca="1"/>
        <v>#VALUE!</v>
      </c>
      <c r="V31" t="e">
        <f ca="1"/>
        <v>#VALUE!</v>
      </c>
      <c r="W31" t="e">
        <f ca="1"/>
        <v>#VALUE!</v>
      </c>
      <c r="X31" t="e">
        <f ca="1"/>
        <v>#VALUE!</v>
      </c>
      <c r="Y31" t="e">
        <f ca="1"/>
        <v>#VALUE!</v>
      </c>
      <c r="Z31" t="e">
        <f ca="1"/>
        <v>#VALUE!</v>
      </c>
      <c r="AB31" t="e">
        <f ca="1"/>
        <v>#VALUE!</v>
      </c>
      <c r="AC31" t="e">
        <f ca="1"/>
        <v>#VALUE!</v>
      </c>
      <c r="AD31" t="e">
        <f ca="1"/>
        <v>#VALUE!</v>
      </c>
      <c r="AE31" t="e">
        <f ca="1"/>
        <v>#VALUE!</v>
      </c>
      <c r="AF31" t="e">
        <f ca="1"/>
        <v>#VALUE!</v>
      </c>
    </row>
    <row r="32" spans="1:32">
      <c r="A32" t="s">
        <v>13</v>
      </c>
      <c r="B32" s="2" t="str" cm="1">
        <f t="array" ref="B32:B35">_xll.qlOvernightLeg(10000,B12,B7)</f>
        <v>欣[test_cashflows_analysis.xlsx]qlCashFlowsAnalysis!R32C2:R35C2CashFlow,A</v>
      </c>
      <c r="C32" s="2" t="str" cm="1">
        <f t="array" ref="C32">_xll.qlCappedFlooredOvernightIndexedCoupon(_xll.qlAsOvernightIndexedCoupon(B32),$B$18,$B$19)</f>
        <v>欣[test_cashflows_analysis.xlsx]qlCashFlowsAnalysis!R32C3CappedFlooredOvernightIndexedCoupon,A</v>
      </c>
      <c r="E32" s="6" t="str">
        <v>FLOOR</v>
      </c>
      <c r="G32" s="3" t="e">
        <f ca="1"/>
        <v>#VALUE!</v>
      </c>
      <c r="H32" s="2" t="e">
        <f ca="1"/>
        <v>#VALUE!</v>
      </c>
      <c r="J32" t="e">
        <f ca="1"/>
        <v>#VALUE!</v>
      </c>
      <c r="K32" t="e">
        <f ca="1"/>
        <v>#VALUE!</v>
      </c>
      <c r="L32" t="e">
        <f ca="1"/>
        <v>#VALUE!</v>
      </c>
      <c r="M32" t="e">
        <f ca="1"/>
        <v>#VALUE!</v>
      </c>
      <c r="N32" t="e">
        <f ca="1"/>
        <v>#VALUE!</v>
      </c>
      <c r="P32" t="e">
        <f ca="1"/>
        <v>#VALUE!</v>
      </c>
      <c r="Q32" t="e">
        <f ca="1"/>
        <v>#VALUE!</v>
      </c>
      <c r="R32" t="e">
        <f ca="1"/>
        <v>#VALUE!</v>
      </c>
      <c r="S32" t="e">
        <f ca="1"/>
        <v>#VALUE!</v>
      </c>
      <c r="T32" t="e">
        <f ca="1"/>
        <v>#VALUE!</v>
      </c>
      <c r="V32" t="e">
        <f ca="1"/>
        <v>#VALUE!</v>
      </c>
      <c r="W32" t="e">
        <f ca="1"/>
        <v>#VALUE!</v>
      </c>
      <c r="X32" t="e">
        <f ca="1"/>
        <v>#VALUE!</v>
      </c>
      <c r="Y32" t="e">
        <f ca="1"/>
        <v>#VALUE!</v>
      </c>
      <c r="Z32" t="e">
        <f ca="1"/>
        <v>#VALUE!</v>
      </c>
      <c r="AB32" t="e">
        <f ca="1"/>
        <v>#VALUE!</v>
      </c>
      <c r="AC32" t="e">
        <f ca="1"/>
        <v>#VALUE!</v>
      </c>
      <c r="AD32" t="e">
        <f ca="1"/>
        <v>#VALUE!</v>
      </c>
      <c r="AE32" t="e">
        <f ca="1"/>
        <v>#VALUE!</v>
      </c>
      <c r="AF32" t="e">
        <f ca="1"/>
        <v>#VALUE!</v>
      </c>
    </row>
    <row r="33" spans="1:32">
      <c r="B33" s="2" t="str">
        <v>欣[test_cashflows_analysis.xlsx]qlCashFlowsAnalysis!R32C2:R35C2CashFlow,B</v>
      </c>
      <c r="C33" s="2" t="str" cm="1">
        <f t="array" ref="C33">_xll.qlCappedFlooredOvernightIndexedCoupon(_xll.qlAsOvernightIndexedCoupon(B33),$B$18,$B$19)</f>
        <v>欣[test_cashflows_analysis.xlsx]qlCashFlowsAnalysis!R33C3CappedFlooredOvernightIndexedCoupon,A</v>
      </c>
      <c r="E33" s="6" t="str">
        <v>EFFECTIVECAP</v>
      </c>
      <c r="G33" s="3" t="e">
        <f ca="1"/>
        <v>#VALUE!</v>
      </c>
      <c r="H33" s="2" t="e">
        <f ca="1"/>
        <v>#VALUE!</v>
      </c>
      <c r="J33" t="e">
        <f ca="1"/>
        <v>#VALUE!</v>
      </c>
      <c r="K33" t="e">
        <f ca="1"/>
        <v>#VALUE!</v>
      </c>
      <c r="L33" t="e">
        <f ca="1"/>
        <v>#VALUE!</v>
      </c>
      <c r="M33" t="e">
        <f ca="1"/>
        <v>#VALUE!</v>
      </c>
      <c r="N33" t="e">
        <f ca="1"/>
        <v>#VALUE!</v>
      </c>
      <c r="P33" t="e">
        <f ca="1"/>
        <v>#VALUE!</v>
      </c>
      <c r="Q33" t="e">
        <f ca="1"/>
        <v>#VALUE!</v>
      </c>
      <c r="R33" t="e">
        <f ca="1"/>
        <v>#VALUE!</v>
      </c>
      <c r="S33" t="e">
        <f ca="1"/>
        <v>#VALUE!</v>
      </c>
      <c r="T33" t="e">
        <f ca="1"/>
        <v>#VALUE!</v>
      </c>
      <c r="V33" t="e">
        <f ca="1"/>
        <v>#VALUE!</v>
      </c>
      <c r="W33" t="e">
        <f ca="1"/>
        <v>#VALUE!</v>
      </c>
      <c r="X33" t="e">
        <f ca="1"/>
        <v>#VALUE!</v>
      </c>
      <c r="Y33" t="e">
        <f ca="1"/>
        <v>#VALUE!</v>
      </c>
      <c r="Z33" t="e">
        <f ca="1"/>
        <v>#VALUE!</v>
      </c>
      <c r="AB33" t="e">
        <f ca="1"/>
        <v>#VALUE!</v>
      </c>
      <c r="AC33" t="e">
        <f ca="1"/>
        <v>#VALUE!</v>
      </c>
      <c r="AD33" t="e">
        <f ca="1"/>
        <v>#VALUE!</v>
      </c>
      <c r="AE33" t="e">
        <f ca="1"/>
        <v>#VALUE!</v>
      </c>
      <c r="AF33" t="e">
        <f ca="1"/>
        <v>#VALUE!</v>
      </c>
    </row>
    <row r="34" spans="1:32">
      <c r="B34" s="2" t="str">
        <v>欣[test_cashflows_analysis.xlsx]qlCashFlowsAnalysis!R32C2:R35C2CashFlow,C</v>
      </c>
      <c r="C34" s="2" t="str" cm="1">
        <f t="array" ref="C34">_xll.qlCappedFlooredOvernightIndexedCoupon(_xll.qlAsOvernightIndexedCoupon(B34),$B$18,$B$19)</f>
        <v>欣[test_cashflows_analysis.xlsx]qlCashFlowsAnalysis!R34C3CappedFlooredOvernightIndexedCoupon,A</v>
      </c>
      <c r="E34" s="6" t="str">
        <v>EFFECTIVEFLOOR</v>
      </c>
      <c r="G34" s="3" t="e">
        <f ca="1"/>
        <v>#VALUE!</v>
      </c>
      <c r="H34" s="2" t="e">
        <f ca="1"/>
        <v>#VALUE!</v>
      </c>
      <c r="J34" t="e">
        <f ca="1"/>
        <v>#VALUE!</v>
      </c>
      <c r="K34" t="e">
        <f ca="1"/>
        <v>#VALUE!</v>
      </c>
      <c r="L34" t="e">
        <f ca="1"/>
        <v>#VALUE!</v>
      </c>
      <c r="M34" t="e">
        <f ca="1"/>
        <v>#VALUE!</v>
      </c>
      <c r="N34" t="e">
        <f ca="1"/>
        <v>#VALUE!</v>
      </c>
      <c r="P34" t="e">
        <f ca="1"/>
        <v>#VALUE!</v>
      </c>
      <c r="Q34" t="e">
        <f ca="1"/>
        <v>#VALUE!</v>
      </c>
      <c r="R34" t="e">
        <f ca="1"/>
        <v>#VALUE!</v>
      </c>
      <c r="S34" t="e">
        <f ca="1"/>
        <v>#VALUE!</v>
      </c>
      <c r="T34" t="e">
        <f ca="1"/>
        <v>#VALUE!</v>
      </c>
      <c r="V34" t="e">
        <f ca="1"/>
        <v>#VALUE!</v>
      </c>
      <c r="W34" t="e">
        <f ca="1"/>
        <v>#VALUE!</v>
      </c>
      <c r="X34" t="e">
        <f ca="1"/>
        <v>#VALUE!</v>
      </c>
      <c r="Y34" t="e">
        <f ca="1"/>
        <v>#VALUE!</v>
      </c>
      <c r="Z34" t="e">
        <f ca="1"/>
        <v>#VALUE!</v>
      </c>
      <c r="AB34" t="e">
        <f ca="1"/>
        <v>#VALUE!</v>
      </c>
      <c r="AC34" t="e">
        <f ca="1"/>
        <v>#VALUE!</v>
      </c>
      <c r="AD34" t="e">
        <f ca="1"/>
        <v>#VALUE!</v>
      </c>
      <c r="AE34" t="e">
        <f ca="1"/>
        <v>#VALUE!</v>
      </c>
      <c r="AF34" t="e">
        <f ca="1"/>
        <v>#VALUE!</v>
      </c>
    </row>
    <row r="35" spans="1:32">
      <c r="B35" s="2" t="str">
        <v>欣[test_cashflows_analysis.xlsx]qlCashFlowsAnalysis!R32C2:R35C2CashFlow,D</v>
      </c>
      <c r="C35" s="2" t="str" cm="1">
        <f t="array" ref="C35">_xll.qlCappedFlooredOvernightIndexedCoupon(_xll.qlAsOvernightIndexedCoupon(B35),$B$18,$B$19)</f>
        <v>欣[test_cashflows_analysis.xlsx]qlCashFlowsAnalysis!R35C3CappedFlooredOvernightIndexedCoupon,A</v>
      </c>
      <c r="E35" s="6" t="str">
        <v>AVERAGINGMETHOD</v>
      </c>
      <c r="G35" s="3" t="e">
        <f ca="1"/>
        <v>#VALUE!</v>
      </c>
      <c r="H35" s="2" t="e">
        <f ca="1"/>
        <v>#VALUE!</v>
      </c>
      <c r="J35" t="e">
        <f ca="1"/>
        <v>#VALUE!</v>
      </c>
      <c r="K35" t="e">
        <f ca="1"/>
        <v>#VALUE!</v>
      </c>
      <c r="L35" t="e">
        <f ca="1"/>
        <v>#VALUE!</v>
      </c>
      <c r="M35" t="e">
        <f ca="1"/>
        <v>#VALUE!</v>
      </c>
      <c r="N35" t="e">
        <f ca="1"/>
        <v>#VALUE!</v>
      </c>
      <c r="P35" t="e">
        <f ca="1"/>
        <v>#VALUE!</v>
      </c>
      <c r="Q35" t="e">
        <f ca="1"/>
        <v>#VALUE!</v>
      </c>
      <c r="R35" t="e">
        <f ca="1"/>
        <v>#VALUE!</v>
      </c>
      <c r="S35" t="e">
        <f ca="1"/>
        <v>#VALUE!</v>
      </c>
      <c r="T35" t="e">
        <f ca="1"/>
        <v>#VALUE!</v>
      </c>
      <c r="V35" t="e">
        <f ca="1"/>
        <v>#VALUE!</v>
      </c>
      <c r="W35" t="e">
        <f ca="1"/>
        <v>#VALUE!</v>
      </c>
      <c r="X35" t="e">
        <f ca="1"/>
        <v>#VALUE!</v>
      </c>
      <c r="Y35" t="e">
        <f ca="1"/>
        <v>#VALUE!</v>
      </c>
      <c r="Z35" t="e">
        <f ca="1"/>
        <v>#VALUE!</v>
      </c>
      <c r="AB35" t="e">
        <f ca="1"/>
        <v>#VALUE!</v>
      </c>
      <c r="AC35" t="e">
        <f ca="1"/>
        <v>#VALUE!</v>
      </c>
      <c r="AD35" t="e">
        <f ca="1"/>
        <v>#VALUE!</v>
      </c>
      <c r="AE35" t="e">
        <f ca="1"/>
        <v>#VALUE!</v>
      </c>
      <c r="AF35" t="e">
        <f ca="1"/>
        <v>#VALUE!</v>
      </c>
    </row>
    <row r="36" spans="1:32">
      <c r="A36" t="s">
        <v>16</v>
      </c>
      <c r="B36" t="b" cm="1">
        <f t="array" ref="B36">_xll.qlSetCouponPricer(C32:C35,B23)</f>
        <v>1</v>
      </c>
      <c r="E36" s="6" t="str">
        <v>CANAPPLYTELESCOPICFORMULA</v>
      </c>
      <c r="G36" s="3" t="e">
        <f ca="1"/>
        <v>#VALUE!</v>
      </c>
      <c r="H36" s="2" t="e">
        <f ca="1"/>
        <v>#VALUE!</v>
      </c>
      <c r="J36" t="e">
        <f ca="1"/>
        <v>#VALUE!</v>
      </c>
      <c r="K36" t="e">
        <f ca="1"/>
        <v>#VALUE!</v>
      </c>
      <c r="L36" t="e">
        <f ca="1"/>
        <v>#VALUE!</v>
      </c>
      <c r="M36" t="e">
        <f ca="1"/>
        <v>#VALUE!</v>
      </c>
      <c r="N36" t="e">
        <f ca="1"/>
        <v>#VALUE!</v>
      </c>
      <c r="P36" t="e">
        <f ca="1"/>
        <v>#VALUE!</v>
      </c>
      <c r="Q36" t="e">
        <f ca="1"/>
        <v>#VALUE!</v>
      </c>
      <c r="R36" t="e">
        <f ca="1"/>
        <v>#VALUE!</v>
      </c>
      <c r="S36" t="e">
        <f ca="1"/>
        <v>#VALUE!</v>
      </c>
      <c r="T36" t="e">
        <f ca="1"/>
        <v>#VALUE!</v>
      </c>
      <c r="V36" t="e">
        <f ca="1"/>
        <v>#VALUE!</v>
      </c>
      <c r="W36" t="e">
        <f ca="1"/>
        <v>#VALUE!</v>
      </c>
      <c r="X36" t="e">
        <f ca="1"/>
        <v>#VALUE!</v>
      </c>
      <c r="Y36" t="e">
        <f ca="1"/>
        <v>#VALUE!</v>
      </c>
      <c r="Z36" t="e">
        <f ca="1"/>
        <v>#VALUE!</v>
      </c>
      <c r="AB36" t="e">
        <f ca="1"/>
        <v>#VALUE!</v>
      </c>
      <c r="AC36" t="e">
        <f ca="1"/>
        <v>#VALUE!</v>
      </c>
      <c r="AD36" t="e">
        <f ca="1"/>
        <v>#VALUE!</v>
      </c>
      <c r="AE36" t="e">
        <f ca="1"/>
        <v>#VALUE!</v>
      </c>
      <c r="AF36" t="e">
        <f ca="1"/>
        <v>#VALUE!</v>
      </c>
    </row>
    <row r="37" spans="1:32" ht="15">
      <c r="A37" s="5" t="s">
        <v>14</v>
      </c>
      <c r="B37" s="2" t="str" cm="1">
        <f t="array" ref="B37">_xll.xloRef(C32:C35)</f>
        <v>永[test_cashflows_analysis.xlsx]qlCashFlowsAnalysis!R37C2,A</v>
      </c>
      <c r="E37" s="6" t="str">
        <v>APPLYOBSERVATIONSHIFT</v>
      </c>
      <c r="G37" s="3" t="e">
        <f ca="1"/>
        <v>#VALUE!</v>
      </c>
      <c r="H37" s="2" t="e">
        <f ca="1"/>
        <v>#VALUE!</v>
      </c>
      <c r="J37" t="e">
        <f ca="1"/>
        <v>#VALUE!</v>
      </c>
      <c r="K37" t="e">
        <f ca="1"/>
        <v>#VALUE!</v>
      </c>
      <c r="L37" t="e">
        <f ca="1"/>
        <v>#VALUE!</v>
      </c>
      <c r="M37" t="e">
        <f ca="1"/>
        <v>#VALUE!</v>
      </c>
      <c r="N37" t="e">
        <f ca="1"/>
        <v>#VALUE!</v>
      </c>
      <c r="P37" t="e">
        <f ca="1"/>
        <v>#VALUE!</v>
      </c>
      <c r="Q37" t="e">
        <f ca="1"/>
        <v>#VALUE!</v>
      </c>
      <c r="R37" t="e">
        <f ca="1"/>
        <v>#VALUE!</v>
      </c>
      <c r="S37" t="e">
        <f ca="1"/>
        <v>#VALUE!</v>
      </c>
      <c r="T37" t="e">
        <f ca="1"/>
        <v>#VALUE!</v>
      </c>
      <c r="V37" t="e">
        <f ca="1"/>
        <v>#VALUE!</v>
      </c>
      <c r="W37" t="e">
        <f ca="1"/>
        <v>#VALUE!</v>
      </c>
      <c r="X37" t="e">
        <f ca="1"/>
        <v>#VALUE!</v>
      </c>
      <c r="Y37" t="e">
        <f ca="1"/>
        <v>#VALUE!</v>
      </c>
      <c r="Z37" t="e">
        <f ca="1"/>
        <v>#VALUE!</v>
      </c>
      <c r="AB37" t="e">
        <f ca="1"/>
        <v>#VALUE!</v>
      </c>
      <c r="AC37" t="e">
        <f ca="1"/>
        <v>#VALUE!</v>
      </c>
      <c r="AD37" t="e">
        <f ca="1"/>
        <v>#VALUE!</v>
      </c>
      <c r="AE37" t="e">
        <f ca="1"/>
        <v>#VALUE!</v>
      </c>
      <c r="AF37" t="e">
        <f ca="1"/>
        <v>#VALUE!</v>
      </c>
    </row>
    <row r="38" spans="1:32">
      <c r="E38" s="6" t="str">
        <v>COMPOUNDSPREADDAILY</v>
      </c>
      <c r="G38" s="3" t="e">
        <f ca="1"/>
        <v>#VALUE!</v>
      </c>
      <c r="H38" s="2" t="e">
        <f ca="1"/>
        <v>#VALUE!</v>
      </c>
      <c r="J38" t="e">
        <f ca="1"/>
        <v>#VALUE!</v>
      </c>
      <c r="K38" t="e">
        <f ca="1"/>
        <v>#VALUE!</v>
      </c>
      <c r="L38" t="e">
        <f ca="1"/>
        <v>#VALUE!</v>
      </c>
      <c r="M38" t="e">
        <f ca="1"/>
        <v>#VALUE!</v>
      </c>
      <c r="N38" t="e">
        <f ca="1"/>
        <v>#VALUE!</v>
      </c>
      <c r="P38" t="e">
        <f ca="1"/>
        <v>#VALUE!</v>
      </c>
      <c r="Q38" t="e">
        <f ca="1"/>
        <v>#VALUE!</v>
      </c>
      <c r="R38" t="e">
        <f ca="1"/>
        <v>#VALUE!</v>
      </c>
      <c r="S38" t="e">
        <f ca="1"/>
        <v>#VALUE!</v>
      </c>
      <c r="T38" t="e">
        <f ca="1"/>
        <v>#VALUE!</v>
      </c>
      <c r="V38" t="e">
        <f ca="1"/>
        <v>#VALUE!</v>
      </c>
      <c r="W38" t="e">
        <f ca="1"/>
        <v>#VALUE!</v>
      </c>
      <c r="X38" t="e">
        <f ca="1"/>
        <v>#VALUE!</v>
      </c>
      <c r="Y38" t="e">
        <f ca="1"/>
        <v>#VALUE!</v>
      </c>
      <c r="Z38" t="e">
        <f ca="1"/>
        <v>#VALUE!</v>
      </c>
      <c r="AB38" t="e">
        <f ca="1"/>
        <v>#VALUE!</v>
      </c>
      <c r="AC38" t="e">
        <f ca="1"/>
        <v>#VALUE!</v>
      </c>
      <c r="AD38" t="e">
        <f ca="1"/>
        <v>#VALUE!</v>
      </c>
      <c r="AE38" t="e">
        <f ca="1"/>
        <v>#VALUE!</v>
      </c>
      <c r="AF38" t="e">
        <f ca="1"/>
        <v>#VALUE!</v>
      </c>
    </row>
    <row r="39" spans="1:32">
      <c r="E39" s="6" t="str">
        <v>LOCKOUTDAYS</v>
      </c>
      <c r="G39" s="3" t="e">
        <f ca="1"/>
        <v>#VALUE!</v>
      </c>
      <c r="H39" s="2" t="e">
        <f ca="1"/>
        <v>#VALUE!</v>
      </c>
      <c r="J39" t="e">
        <f ca="1"/>
        <v>#VALUE!</v>
      </c>
      <c r="K39" t="e">
        <f ca="1"/>
        <v>#VALUE!</v>
      </c>
      <c r="L39" t="e">
        <f ca="1"/>
        <v>#VALUE!</v>
      </c>
      <c r="M39" t="e">
        <f ca="1"/>
        <v>#VALUE!</v>
      </c>
      <c r="N39" t="e">
        <f ca="1"/>
        <v>#VALUE!</v>
      </c>
      <c r="P39" t="e">
        <f ca="1"/>
        <v>#VALUE!</v>
      </c>
      <c r="Q39" t="e">
        <f ca="1"/>
        <v>#VALUE!</v>
      </c>
      <c r="R39" t="e">
        <f ca="1"/>
        <v>#VALUE!</v>
      </c>
      <c r="S39" t="e">
        <f ca="1"/>
        <v>#VALUE!</v>
      </c>
      <c r="T39" t="e">
        <f ca="1"/>
        <v>#VALUE!</v>
      </c>
      <c r="V39" t="e">
        <f ca="1"/>
        <v>#VALUE!</v>
      </c>
      <c r="W39" t="e">
        <f ca="1"/>
        <v>#VALUE!</v>
      </c>
      <c r="X39" t="e">
        <f ca="1"/>
        <v>#VALUE!</v>
      </c>
      <c r="Y39" t="e">
        <f ca="1"/>
        <v>#VALUE!</v>
      </c>
      <c r="Z39" t="e">
        <f ca="1"/>
        <v>#VALUE!</v>
      </c>
      <c r="AB39" t="e">
        <f ca="1"/>
        <v>#VALUE!</v>
      </c>
      <c r="AC39" t="e">
        <f ca="1"/>
        <v>#VALUE!</v>
      </c>
      <c r="AD39" t="e">
        <f ca="1"/>
        <v>#VALUE!</v>
      </c>
      <c r="AE39" t="e">
        <f ca="1"/>
        <v>#VALUE!</v>
      </c>
      <c r="AF39" t="e">
        <f ca="1"/>
        <v>#VALUE!</v>
      </c>
    </row>
    <row r="40" spans="1:32">
      <c r="E40" s="6" t="str">
        <v>RATECOMPUTATIONSTARTDATE</v>
      </c>
      <c r="G40" s="3" t="e">
        <f ca="1"/>
        <v>#VALUE!</v>
      </c>
      <c r="H40" s="2" t="e">
        <f ca="1"/>
        <v>#VALUE!</v>
      </c>
      <c r="J40" t="e">
        <f ca="1"/>
        <v>#VALUE!</v>
      </c>
      <c r="K40" t="e">
        <f ca="1"/>
        <v>#VALUE!</v>
      </c>
      <c r="L40" t="e">
        <f ca="1"/>
        <v>#VALUE!</v>
      </c>
      <c r="M40" t="e">
        <f ca="1"/>
        <v>#VALUE!</v>
      </c>
      <c r="N40" t="e">
        <f ca="1"/>
        <v>#VALUE!</v>
      </c>
      <c r="P40" t="e">
        <f ca="1"/>
        <v>#VALUE!</v>
      </c>
      <c r="Q40" t="e">
        <f ca="1"/>
        <v>#VALUE!</v>
      </c>
      <c r="R40" t="e">
        <f ca="1"/>
        <v>#VALUE!</v>
      </c>
      <c r="S40" t="e">
        <f ca="1"/>
        <v>#VALUE!</v>
      </c>
      <c r="T40" t="e">
        <f ca="1"/>
        <v>#VALUE!</v>
      </c>
      <c r="V40" t="e">
        <f ca="1"/>
        <v>#VALUE!</v>
      </c>
      <c r="W40" t="e">
        <f ca="1"/>
        <v>#VALUE!</v>
      </c>
      <c r="X40" t="e">
        <f ca="1"/>
        <v>#VALUE!</v>
      </c>
      <c r="Y40" t="e">
        <f ca="1"/>
        <v>#VALUE!</v>
      </c>
      <c r="Z40" t="e">
        <f ca="1"/>
        <v>#VALUE!</v>
      </c>
      <c r="AB40" t="e">
        <f ca="1"/>
        <v>#VALUE!</v>
      </c>
      <c r="AC40" t="e">
        <f ca="1"/>
        <v>#VALUE!</v>
      </c>
      <c r="AD40" t="e">
        <f ca="1"/>
        <v>#VALUE!</v>
      </c>
      <c r="AE40" t="e">
        <f ca="1"/>
        <v>#VALUE!</v>
      </c>
      <c r="AF40" t="e">
        <f ca="1"/>
        <v>#VALUE!</v>
      </c>
    </row>
    <row r="41" spans="1:32">
      <c r="E41" s="6" t="str">
        <v>RATECOMPUTATIONENDDATE</v>
      </c>
      <c r="G41" s="3" t="e">
        <f ca="1"/>
        <v>#VALUE!</v>
      </c>
      <c r="H41" s="2" t="e">
        <f ca="1"/>
        <v>#VALUE!</v>
      </c>
      <c r="J41" t="e">
        <f ca="1"/>
        <v>#VALUE!</v>
      </c>
      <c r="K41" t="e">
        <f ca="1"/>
        <v>#VALUE!</v>
      </c>
      <c r="L41" t="e">
        <f ca="1"/>
        <v>#VALUE!</v>
      </c>
      <c r="M41" t="e">
        <f ca="1"/>
        <v>#VALUE!</v>
      </c>
      <c r="N41" t="e">
        <f ca="1"/>
        <v>#VALUE!</v>
      </c>
      <c r="P41" t="e">
        <f ca="1"/>
        <v>#VALUE!</v>
      </c>
      <c r="Q41" t="e">
        <f ca="1"/>
        <v>#VALUE!</v>
      </c>
      <c r="R41" t="e">
        <f ca="1"/>
        <v>#VALUE!</v>
      </c>
      <c r="S41" t="e">
        <f ca="1"/>
        <v>#VALUE!</v>
      </c>
      <c r="T41" t="e">
        <f ca="1"/>
        <v>#VALUE!</v>
      </c>
      <c r="V41" t="e">
        <f ca="1"/>
        <v>#VALUE!</v>
      </c>
      <c r="W41" t="e">
        <f ca="1"/>
        <v>#VALUE!</v>
      </c>
      <c r="X41" t="e">
        <f ca="1"/>
        <v>#VALUE!</v>
      </c>
      <c r="Y41" t="e">
        <f ca="1"/>
        <v>#VALUE!</v>
      </c>
      <c r="Z41" t="e">
        <f ca="1"/>
        <v>#VALUE!</v>
      </c>
      <c r="AB41" t="e">
        <f ca="1"/>
        <v>#VALUE!</v>
      </c>
      <c r="AC41" t="e">
        <f ca="1"/>
        <v>#VALUE!</v>
      </c>
      <c r="AD41" t="e">
        <f ca="1"/>
        <v>#VALUE!</v>
      </c>
      <c r="AE41" t="e">
        <f ca="1"/>
        <v>#VALUE!</v>
      </c>
      <c r="AF41" t="e">
        <f ca="1"/>
        <v>#VALUE!</v>
      </c>
    </row>
    <row r="42" spans="1:32">
      <c r="E42" s="6" t="str">
        <v>EFFECTIVEINDEXFIXING</v>
      </c>
      <c r="G42" s="3" t="e">
        <f ca="1"/>
        <v>#VALUE!</v>
      </c>
      <c r="H42" s="2" t="e">
        <f ca="1"/>
        <v>#VALUE!</v>
      </c>
      <c r="J42" t="e">
        <f ca="1"/>
        <v>#VALUE!</v>
      </c>
      <c r="K42" t="e">
        <f ca="1"/>
        <v>#VALUE!</v>
      </c>
      <c r="L42" t="e">
        <f ca="1"/>
        <v>#VALUE!</v>
      </c>
      <c r="M42" t="e">
        <f ca="1"/>
        <v>#VALUE!</v>
      </c>
      <c r="N42" t="e">
        <f ca="1"/>
        <v>#VALUE!</v>
      </c>
      <c r="P42" t="e">
        <f ca="1"/>
        <v>#VALUE!</v>
      </c>
      <c r="Q42" t="e">
        <f ca="1"/>
        <v>#VALUE!</v>
      </c>
      <c r="R42" t="e">
        <f ca="1"/>
        <v>#VALUE!</v>
      </c>
      <c r="S42" t="e">
        <f ca="1"/>
        <v>#VALUE!</v>
      </c>
      <c r="T42" t="e">
        <f ca="1"/>
        <v>#VALUE!</v>
      </c>
      <c r="V42" t="e">
        <f ca="1"/>
        <v>#VALUE!</v>
      </c>
      <c r="W42" t="e">
        <f ca="1"/>
        <v>#VALUE!</v>
      </c>
      <c r="X42" t="e">
        <f ca="1"/>
        <v>#VALUE!</v>
      </c>
      <c r="Y42" t="e">
        <f ca="1"/>
        <v>#VALUE!</v>
      </c>
      <c r="Z42" t="e">
        <f ca="1"/>
        <v>#VALUE!</v>
      </c>
      <c r="AB42" t="e">
        <f ca="1"/>
        <v>#VALUE!</v>
      </c>
      <c r="AC42" t="e">
        <f ca="1"/>
        <v>#VALUE!</v>
      </c>
      <c r="AD42" t="e">
        <f ca="1"/>
        <v>#VALUE!</v>
      </c>
      <c r="AE42" t="e">
        <f ca="1"/>
        <v>#VALUE!</v>
      </c>
      <c r="AF42" t="e">
        <f ca="1"/>
        <v>#VALUE!</v>
      </c>
    </row>
    <row r="43" spans="1:32">
      <c r="E43" s="6" t="str">
        <v>EFFECTIVESPREAD</v>
      </c>
      <c r="G43" s="3" t="e">
        <f ca="1"/>
        <v>#VALUE!</v>
      </c>
      <c r="H43" s="2" t="e">
        <f ca="1"/>
        <v>#VALUE!</v>
      </c>
      <c r="J43" t="e">
        <f ca="1"/>
        <v>#VALUE!</v>
      </c>
      <c r="K43" t="e">
        <f ca="1"/>
        <v>#VALUE!</v>
      </c>
      <c r="L43" t="e">
        <f ca="1"/>
        <v>#VALUE!</v>
      </c>
      <c r="M43" t="e">
        <f ca="1"/>
        <v>#VALUE!</v>
      </c>
      <c r="N43" t="e">
        <f ca="1"/>
        <v>#VALUE!</v>
      </c>
      <c r="P43" t="e">
        <f ca="1"/>
        <v>#VALUE!</v>
      </c>
      <c r="Q43" t="e">
        <f ca="1"/>
        <v>#VALUE!</v>
      </c>
      <c r="R43" t="e">
        <f ca="1"/>
        <v>#VALUE!</v>
      </c>
      <c r="S43" t="e">
        <f ca="1"/>
        <v>#VALUE!</v>
      </c>
      <c r="T43" t="e">
        <f ca="1"/>
        <v>#VALUE!</v>
      </c>
      <c r="V43" t="e">
        <f ca="1"/>
        <v>#VALUE!</v>
      </c>
      <c r="W43" t="e">
        <f ca="1"/>
        <v>#VALUE!</v>
      </c>
      <c r="X43" t="e">
        <f ca="1"/>
        <v>#VALUE!</v>
      </c>
      <c r="Y43" t="e">
        <f ca="1"/>
        <v>#VALUE!</v>
      </c>
      <c r="Z43" t="e">
        <f ca="1"/>
        <v>#VALUE!</v>
      </c>
      <c r="AB43" t="e">
        <f ca="1"/>
        <v>#VALUE!</v>
      </c>
      <c r="AC43" t="e">
        <f ca="1"/>
        <v>#VALUE!</v>
      </c>
      <c r="AD43" t="e">
        <f ca="1"/>
        <v>#VALUE!</v>
      </c>
      <c r="AE43" t="e">
        <f ca="1"/>
        <v>#VALUE!</v>
      </c>
      <c r="AF43" t="e">
        <f ca="1"/>
        <v>#VALUE!</v>
      </c>
    </row>
    <row r="44" spans="1:32">
      <c r="E44" s="6" t="str">
        <v>NAKEDOPTION</v>
      </c>
      <c r="G44" s="3" t="e">
        <f ca="1"/>
        <v>#VALUE!</v>
      </c>
      <c r="H44" s="2" t="e">
        <f ca="1"/>
        <v>#VALUE!</v>
      </c>
      <c r="J44" t="e">
        <f ca="1"/>
        <v>#VALUE!</v>
      </c>
      <c r="K44" t="e">
        <f ca="1"/>
        <v>#VALUE!</v>
      </c>
      <c r="L44" t="e">
        <f ca="1"/>
        <v>#VALUE!</v>
      </c>
      <c r="M44" t="e">
        <f ca="1"/>
        <v>#VALUE!</v>
      </c>
      <c r="N44" t="e">
        <f ca="1"/>
        <v>#VALUE!</v>
      </c>
      <c r="P44" t="e">
        <f ca="1"/>
        <v>#VALUE!</v>
      </c>
      <c r="Q44" t="e">
        <f ca="1"/>
        <v>#VALUE!</v>
      </c>
      <c r="R44" t="e">
        <f ca="1"/>
        <v>#VALUE!</v>
      </c>
      <c r="S44" t="e">
        <f ca="1"/>
        <v>#VALUE!</v>
      </c>
      <c r="T44" t="e">
        <f ca="1"/>
        <v>#VALUE!</v>
      </c>
      <c r="V44" t="e">
        <f ca="1"/>
        <v>#VALUE!</v>
      </c>
      <c r="W44" t="e">
        <f ca="1"/>
        <v>#VALUE!</v>
      </c>
      <c r="X44" t="e">
        <f ca="1"/>
        <v>#VALUE!</v>
      </c>
      <c r="Y44" t="e">
        <f ca="1"/>
        <v>#VALUE!</v>
      </c>
      <c r="Z44" t="e">
        <f ca="1"/>
        <v>#VALUE!</v>
      </c>
      <c r="AB44" t="e">
        <f ca="1"/>
        <v>#VALUE!</v>
      </c>
      <c r="AC44" t="e">
        <f ca="1"/>
        <v>#VALUE!</v>
      </c>
      <c r="AD44" t="e">
        <f ca="1"/>
        <v>#VALUE!</v>
      </c>
      <c r="AE44" t="e">
        <f ca="1"/>
        <v>#VALUE!</v>
      </c>
      <c r="AF44" t="e">
        <f ca="1"/>
        <v>#VALUE!</v>
      </c>
    </row>
    <row r="45" spans="1:32">
      <c r="E45" s="6" t="str">
        <v>DAILYCAPFLOOR</v>
      </c>
      <c r="G45" s="3" t="e">
        <f ca="1"/>
        <v>#VALUE!</v>
      </c>
      <c r="H45" s="2" t="e">
        <f ca="1"/>
        <v>#VALUE!</v>
      </c>
      <c r="J45" t="e">
        <f ca="1"/>
        <v>#VALUE!</v>
      </c>
      <c r="K45" t="e">
        <f ca="1"/>
        <v>#VALUE!</v>
      </c>
      <c r="L45" t="e">
        <f ca="1"/>
        <v>#VALUE!</v>
      </c>
      <c r="M45" t="e">
        <f ca="1"/>
        <v>#VALUE!</v>
      </c>
      <c r="N45" t="e">
        <f ca="1"/>
        <v>#VALUE!</v>
      </c>
      <c r="P45" t="e">
        <f ca="1"/>
        <v>#VALUE!</v>
      </c>
      <c r="Q45" t="e">
        <f ca="1"/>
        <v>#VALUE!</v>
      </c>
      <c r="R45" t="e">
        <f ca="1"/>
        <v>#VALUE!</v>
      </c>
      <c r="S45" t="e">
        <f ca="1"/>
        <v>#VALUE!</v>
      </c>
      <c r="T45" t="e">
        <f ca="1"/>
        <v>#VALUE!</v>
      </c>
      <c r="V45" t="e">
        <f ca="1"/>
        <v>#VALUE!</v>
      </c>
      <c r="W45" t="e">
        <f ca="1"/>
        <v>#VALUE!</v>
      </c>
      <c r="X45" t="e">
        <f ca="1"/>
        <v>#VALUE!</v>
      </c>
      <c r="Y45" t="e">
        <f ca="1"/>
        <v>#VALUE!</v>
      </c>
      <c r="Z45" t="e">
        <f ca="1"/>
        <v>#VALUE!</v>
      </c>
      <c r="AB45" t="e">
        <f ca="1"/>
        <v>#VALUE!</v>
      </c>
      <c r="AC45" t="e">
        <f ca="1"/>
        <v>#VALUE!</v>
      </c>
      <c r="AD45" t="e">
        <f ca="1"/>
        <v>#VALUE!</v>
      </c>
      <c r="AE45" t="e">
        <f ca="1"/>
        <v>#VALUE!</v>
      </c>
      <c r="AF45" t="e">
        <f ca="1"/>
        <v>#VALUE!</v>
      </c>
    </row>
    <row r="46" spans="1:32">
      <c r="E46" s="6" t="str">
        <v>EFFECTIVECAPLETVOLATILITY</v>
      </c>
      <c r="G46" s="3" t="e">
        <f ca="1"/>
        <v>#VALUE!</v>
      </c>
      <c r="H46" s="2" t="e">
        <f ca="1"/>
        <v>#VALUE!</v>
      </c>
      <c r="J46" t="e">
        <f ca="1"/>
        <v>#VALUE!</v>
      </c>
      <c r="K46" t="e">
        <f ca="1"/>
        <v>#VALUE!</v>
      </c>
      <c r="L46" t="e">
        <f ca="1"/>
        <v>#VALUE!</v>
      </c>
      <c r="M46" t="e">
        <f ca="1"/>
        <v>#VALUE!</v>
      </c>
      <c r="N46" t="e">
        <f ca="1"/>
        <v>#VALUE!</v>
      </c>
      <c r="P46" t="e">
        <f ca="1"/>
        <v>#VALUE!</v>
      </c>
      <c r="Q46" t="e">
        <f ca="1"/>
        <v>#VALUE!</v>
      </c>
      <c r="R46" t="e">
        <f ca="1"/>
        <v>#VALUE!</v>
      </c>
      <c r="S46" t="e">
        <f ca="1"/>
        <v>#VALUE!</v>
      </c>
      <c r="T46" t="e">
        <f ca="1"/>
        <v>#VALUE!</v>
      </c>
      <c r="V46" t="e">
        <f ca="1"/>
        <v>#VALUE!</v>
      </c>
      <c r="W46" t="e">
        <f ca="1"/>
        <v>#VALUE!</v>
      </c>
      <c r="X46" t="e">
        <f ca="1"/>
        <v>#VALUE!</v>
      </c>
      <c r="Y46" t="e">
        <f ca="1"/>
        <v>#VALUE!</v>
      </c>
      <c r="Z46" t="e">
        <f ca="1"/>
        <v>#VALUE!</v>
      </c>
      <c r="AB46" t="e">
        <f ca="1"/>
        <v>#VALUE!</v>
      </c>
      <c r="AC46" t="e">
        <f ca="1"/>
        <v>#VALUE!</v>
      </c>
      <c r="AD46" t="e">
        <f ca="1"/>
        <v>#VALUE!</v>
      </c>
      <c r="AE46" t="e">
        <f ca="1"/>
        <v>#VALUE!</v>
      </c>
      <c r="AF46" t="e">
        <f ca="1"/>
        <v>#VALUE!</v>
      </c>
    </row>
    <row r="47" spans="1:32">
      <c r="E47" s="6" t="str">
        <v>EFFECTIVEFLOORLETVOLATILITY</v>
      </c>
      <c r="G47" s="3" t="e">
        <f ca="1"/>
        <v>#VALUE!</v>
      </c>
      <c r="H47" s="2" t="e">
        <f ca="1"/>
        <v>#VALUE!</v>
      </c>
      <c r="J47" t="e">
        <f ca="1"/>
        <v>#VALUE!</v>
      </c>
      <c r="K47" t="e">
        <f ca="1"/>
        <v>#VALUE!</v>
      </c>
      <c r="L47" t="e">
        <f ca="1"/>
        <v>#VALUE!</v>
      </c>
      <c r="M47" t="e">
        <f ca="1"/>
        <v>#VALUE!</v>
      </c>
      <c r="N47" t="e">
        <f ca="1"/>
        <v>#VALUE!</v>
      </c>
      <c r="P47" t="e">
        <f ca="1"/>
        <v>#VALUE!</v>
      </c>
      <c r="Q47" t="e">
        <f ca="1"/>
        <v>#VALUE!</v>
      </c>
      <c r="R47" t="e">
        <f ca="1"/>
        <v>#VALUE!</v>
      </c>
      <c r="S47" t="e">
        <f ca="1"/>
        <v>#VALUE!</v>
      </c>
      <c r="T47" t="e">
        <f ca="1"/>
        <v>#VALUE!</v>
      </c>
      <c r="V47" t="e">
        <f ca="1"/>
        <v>#VALUE!</v>
      </c>
      <c r="W47" t="e">
        <f ca="1"/>
        <v>#VALUE!</v>
      </c>
      <c r="X47" t="e">
        <f ca="1"/>
        <v>#VALUE!</v>
      </c>
      <c r="Y47" t="e">
        <f ca="1"/>
        <v>#VALUE!</v>
      </c>
      <c r="Z47" t="e">
        <f ca="1"/>
        <v>#VALUE!</v>
      </c>
      <c r="AB47" t="e">
        <f ca="1"/>
        <v>#VALUE!</v>
      </c>
      <c r="AC47" t="e">
        <f ca="1"/>
        <v>#VALUE!</v>
      </c>
      <c r="AD47" t="e">
        <f ca="1"/>
        <v>#VALUE!</v>
      </c>
      <c r="AE47" t="e">
        <f ca="1"/>
        <v>#VALUE!</v>
      </c>
      <c r="AF47" t="e">
        <f ca="1"/>
        <v>#VALUE!</v>
      </c>
    </row>
    <row r="48" spans="1:32">
      <c r="E48" s="6" t="str">
        <v>DISCOUNTFACTOR</v>
      </c>
      <c r="G48" s="3" t="e">
        <f ca="1"/>
        <v>#VALUE!</v>
      </c>
      <c r="H48" s="2" t="e">
        <f ca="1"/>
        <v>#VALUE!</v>
      </c>
      <c r="J48" t="e">
        <f ca="1"/>
        <v>#VALUE!</v>
      </c>
      <c r="K48" t="e">
        <f ca="1"/>
        <v>#VALUE!</v>
      </c>
      <c r="L48" t="e">
        <f ca="1"/>
        <v>#VALUE!</v>
      </c>
      <c r="M48" t="e">
        <f ca="1"/>
        <v>#VALUE!</v>
      </c>
      <c r="N48" t="e">
        <f ca="1"/>
        <v>#VALUE!</v>
      </c>
      <c r="P48" t="e">
        <f ca="1"/>
        <v>#VALUE!</v>
      </c>
      <c r="Q48" t="e">
        <f ca="1"/>
        <v>#VALUE!</v>
      </c>
      <c r="R48" t="e">
        <f ca="1"/>
        <v>#VALUE!</v>
      </c>
      <c r="S48" t="e">
        <f ca="1"/>
        <v>#VALUE!</v>
      </c>
      <c r="T48" t="e">
        <f ca="1"/>
        <v>#VALUE!</v>
      </c>
      <c r="V48" t="e">
        <f ca="1"/>
        <v>#VALUE!</v>
      </c>
      <c r="W48" t="e">
        <f ca="1"/>
        <v>#VALUE!</v>
      </c>
      <c r="X48" t="e">
        <f ca="1"/>
        <v>#VALUE!</v>
      </c>
      <c r="Y48" t="e">
        <f ca="1"/>
        <v>#VALUE!</v>
      </c>
      <c r="Z48" t="e">
        <f ca="1"/>
        <v>#VALUE!</v>
      </c>
      <c r="AB48" t="e">
        <f ca="1"/>
        <v>#VALUE!</v>
      </c>
      <c r="AC48" t="e">
        <f ca="1"/>
        <v>#VALUE!</v>
      </c>
      <c r="AD48" t="e">
        <f ca="1"/>
        <v>#VALUE!</v>
      </c>
      <c r="AE48" t="e">
        <f ca="1"/>
        <v>#VALUE!</v>
      </c>
      <c r="AF48" t="e">
        <f ca="1"/>
        <v>#VALUE!</v>
      </c>
    </row>
    <row r="49" spans="5:32">
      <c r="E49" s="6" t="str">
        <v>NPV</v>
      </c>
      <c r="G49" s="3" t="e">
        <f ca="1"/>
        <v>#VALUE!</v>
      </c>
      <c r="H49" s="2" t="e">
        <f ca="1"/>
        <v>#VALUE!</v>
      </c>
      <c r="J49" t="e">
        <f ca="1"/>
        <v>#VALUE!</v>
      </c>
      <c r="K49" t="e">
        <f ca="1"/>
        <v>#VALUE!</v>
      </c>
      <c r="L49" t="e">
        <f ca="1"/>
        <v>#VALUE!</v>
      </c>
      <c r="M49" t="e">
        <f ca="1"/>
        <v>#VALUE!</v>
      </c>
      <c r="N49" t="e">
        <f ca="1"/>
        <v>#VALUE!</v>
      </c>
      <c r="P49" t="e">
        <f ca="1"/>
        <v>#VALUE!</v>
      </c>
      <c r="Q49" t="e">
        <f ca="1"/>
        <v>#VALUE!</v>
      </c>
      <c r="R49" t="e">
        <f ca="1"/>
        <v>#VALUE!</v>
      </c>
      <c r="S49" t="e">
        <f ca="1"/>
        <v>#VALUE!</v>
      </c>
      <c r="T49" t="e">
        <f ca="1"/>
        <v>#VALUE!</v>
      </c>
      <c r="V49" t="e">
        <f ca="1"/>
        <v>#VALUE!</v>
      </c>
      <c r="W49" t="e">
        <f ca="1"/>
        <v>#VALUE!</v>
      </c>
      <c r="X49" t="e">
        <f ca="1"/>
        <v>#VALUE!</v>
      </c>
      <c r="Y49" t="e">
        <f ca="1"/>
        <v>#VALUE!</v>
      </c>
      <c r="Z49" t="e">
        <f ca="1"/>
        <v>#VALUE!</v>
      </c>
      <c r="AB49" t="e">
        <f ca="1"/>
        <v>#VALUE!</v>
      </c>
      <c r="AC49" t="e">
        <f ca="1"/>
        <v>#VALUE!</v>
      </c>
      <c r="AD49" t="e">
        <f ca="1"/>
        <v>#VALUE!</v>
      </c>
      <c r="AE49" t="e">
        <f ca="1"/>
        <v>#VALUE!</v>
      </c>
      <c r="AF49" t="e">
        <f ca="1"/>
        <v>#VALUE!</v>
      </c>
    </row>
    <row r="50" spans="5:32">
      <c r="G50" s="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62DBD9-781C-4961-B0B5-FE7F776B2AC5}">
  <dimension ref="B2:H6"/>
  <sheetViews>
    <sheetView workbookViewId="0"/>
  </sheetViews>
  <sheetFormatPr baseColWidth="10" defaultColWidth="9" defaultRowHeight="14.25"/>
  <cols>
    <col min="2" max="2" width="10.125" bestFit="1" customWidth="1"/>
    <col min="3" max="3" width="15.5" bestFit="1" customWidth="1"/>
    <col min="4" max="4" width="14.75" bestFit="1" customWidth="1"/>
    <col min="5" max="5" width="10.125" bestFit="1" customWidth="1"/>
    <col min="6" max="6" width="12" bestFit="1" customWidth="1"/>
    <col min="7" max="7" width="14.125" bestFit="1" customWidth="1"/>
    <col min="8" max="8" width="12" bestFit="1" customWidth="1"/>
  </cols>
  <sheetData>
    <row r="2" spans="2:8">
      <c r="B2" s="9" t="s">
        <v>24</v>
      </c>
      <c r="C2" s="9" t="s">
        <v>25</v>
      </c>
      <c r="D2" s="9" t="s">
        <v>26</v>
      </c>
      <c r="E2" s="9" t="s">
        <v>27</v>
      </c>
      <c r="F2" s="9" t="s">
        <v>28</v>
      </c>
      <c r="G2" s="9" t="s">
        <v>29</v>
      </c>
      <c r="H2" s="9" t="s">
        <v>30</v>
      </c>
    </row>
    <row r="3" spans="2:8">
      <c r="B3" s="11" cm="1">
        <f t="array" ref="B3:H6">_xll.qlCashFlowsAnalysis(qlCashFlowsAnalysis!B30,B2:H2,qlCashFlowsAnalysis!B4,FALSE,qlCashFlowsAnalysis!B29)</f>
        <v>46174</v>
      </c>
      <c r="C3" s="11">
        <v>46176</v>
      </c>
      <c r="D3" s="11">
        <v>46268</v>
      </c>
      <c r="E3" s="11">
        <v>46268</v>
      </c>
      <c r="F3" s="12">
        <v>75.903052613168768</v>
      </c>
      <c r="G3" s="13">
        <v>0.99230374163761725</v>
      </c>
      <c r="H3" s="12">
        <v>75.318883109764286</v>
      </c>
    </row>
    <row r="4" spans="2:8">
      <c r="B4" s="11">
        <v>46266</v>
      </c>
      <c r="C4" s="11">
        <v>46268</v>
      </c>
      <c r="D4" s="11">
        <v>46359</v>
      </c>
      <c r="E4" s="11">
        <v>46359</v>
      </c>
      <c r="F4" s="12">
        <v>70.382227876664615</v>
      </c>
      <c r="G4" s="13">
        <v>0.98490954013667831</v>
      </c>
      <c r="H4" s="12">
        <v>69.32012769180065</v>
      </c>
    </row>
    <row r="5" spans="2:8">
      <c r="B5" s="11">
        <v>46357</v>
      </c>
      <c r="C5" s="11">
        <v>46359</v>
      </c>
      <c r="D5" s="11">
        <v>46449</v>
      </c>
      <c r="E5" s="11">
        <v>46449</v>
      </c>
      <c r="F5" s="12">
        <v>67.555076120559946</v>
      </c>
      <c r="G5" s="13">
        <v>0.97765078845923026</v>
      </c>
      <c r="H5" s="12">
        <v>66.045273433688749</v>
      </c>
    </row>
    <row r="6" spans="2:8">
      <c r="B6" s="11">
        <v>46447</v>
      </c>
      <c r="C6" s="11">
        <v>46449</v>
      </c>
      <c r="D6" s="11">
        <v>46541</v>
      </c>
      <c r="E6" s="11">
        <v>46541</v>
      </c>
      <c r="F6" s="12">
        <v>67.464081019234257</v>
      </c>
      <c r="G6" s="13">
        <v>0.97028602136627173</v>
      </c>
      <c r="H6" s="12">
        <v>65.459454757284618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qlCashFlowsAnalysis</vt:lpstr>
      <vt:lpstr>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Sebastian Schlenkrich</dc:creator>
  <cp:lastModifiedBy>Kerstin Steinberg</cp:lastModifiedBy>
  <dcterms:created xsi:type="dcterms:W3CDTF">2026-08-15T09:27:22Z</dcterms:created>
  <dcterms:modified xsi:type="dcterms:W3CDTF">2026-09-10T13:15:24Z</dcterms:modified>
</cp:coreProperties>
</file>