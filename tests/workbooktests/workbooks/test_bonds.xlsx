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79712706-A415-425D-AD99-9E72E8874A96}" xr6:coauthVersionLast="47" xr6:coauthVersionMax="47" xr10:uidLastSave="{00000000-0000-0000-0000-000000000000}"/>
  <bookViews>
    <workbookView xWindow="-120" yWindow="-120" windowWidth="29040" windowHeight="15720" xr2:uid="{A8952777-E146-413E-A9B0-D4A573A66C27}"/>
  </bookViews>
  <sheets>
    <sheet name="Tabs" sheetId="1" r:id="rId1"/>
    <sheet name="BondPrice" sheetId="18" r:id="rId2"/>
    <sheet name="BondSinkingSchedule_Notionals" sheetId="23" r:id="rId3"/>
    <sheet name="Bond" sheetId="3" r:id="rId4"/>
    <sheet name="ZeroCouponBond" sheetId="4" r:id="rId5"/>
    <sheet name="FixedRateBond" sheetId="5" r:id="rId6"/>
    <sheet name="AmortizingFixedRateBond" sheetId="6" r:id="rId7"/>
    <sheet name="AmortizingFloatingRateBond" sheetId="7" r:id="rId8"/>
    <sheet name="FloatingRateBond" sheetId="8" r:id="rId9"/>
    <sheet name="CmsRateBond" sheetId="9" r:id="rId10"/>
    <sheet name="AmortizingCmsRateBond" sheetId="10" r:id="rId11"/>
    <sheet name="Callability" sheetId="21" r:id="rId12"/>
    <sheet name="CallableFixedRateBond" sheetId="13" r:id="rId13"/>
    <sheet name="CallableZeroCouponBond" sheetId="14" r:id="rId14"/>
    <sheet name="CPIBond" sheetId="2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3" l="1"/>
  <c r="C27" i="13"/>
  <c r="C9" i="13"/>
  <c r="C14" i="13" s="1"/>
  <c r="B9" i="13"/>
  <c r="B2" i="13"/>
  <c r="B14" i="13" s="1"/>
  <c r="C22" i="13"/>
  <c r="C25" i="13" s="1"/>
  <c r="B19" i="9"/>
  <c r="B5" i="4"/>
  <c r="C11" i="6"/>
  <c r="B2" i="14"/>
  <c r="B2" i="6"/>
  <c r="B2" i="7"/>
  <c r="B9" i="8"/>
  <c r="C21" i="10"/>
  <c r="C11" i="7"/>
  <c r="C10" i="22"/>
  <c r="C19" i="22" s="1"/>
  <c r="B11" i="21"/>
  <c r="C12" i="14"/>
  <c r="B11" i="6"/>
  <c r="B2" i="9"/>
  <c r="B9" i="9"/>
  <c r="C20" i="3"/>
  <c r="C24" i="6"/>
  <c r="B2" i="10"/>
  <c r="C19" i="9"/>
  <c r="B6" i="14"/>
  <c r="B21" i="10"/>
  <c r="B12" i="14"/>
  <c r="B2" i="4"/>
  <c r="B2" i="23"/>
  <c r="C28" i="8"/>
  <c r="B14" i="21"/>
  <c r="B17" i="21" s="1"/>
  <c r="B15" i="21"/>
  <c r="B16" i="6"/>
  <c r="C9" i="9"/>
  <c r="B2" i="3"/>
  <c r="B2" i="22"/>
  <c r="B2" i="8"/>
  <c r="C15" i="8" s="1"/>
  <c r="C16" i="8" s="1"/>
  <c r="C28" i="4"/>
  <c r="B11" i="4"/>
  <c r="B19" i="4"/>
  <c r="B24" i="4"/>
  <c r="B6" i="3"/>
  <c r="B10" i="3" s="1"/>
  <c r="C23" i="3" s="1"/>
  <c r="C25" i="3" s="1"/>
  <c r="C23" i="9"/>
  <c r="B2" i="5"/>
  <c r="C9" i="8"/>
  <c r="C14" i="8" s="1"/>
  <c r="B9" i="5"/>
  <c r="B14" i="5" s="1"/>
  <c r="B14" i="8"/>
  <c r="B14" i="9"/>
  <c r="B11" i="7"/>
  <c r="B16" i="7" s="1"/>
  <c r="B20" i="3"/>
  <c r="B27" i="5"/>
  <c r="C37" i="3"/>
  <c r="C28" i="3"/>
  <c r="B44" i="5"/>
  <c r="B33" i="5"/>
  <c r="B15" i="4"/>
  <c r="B12" i="4"/>
  <c r="B28" i="4"/>
  <c r="B23" i="9"/>
  <c r="C9" i="5"/>
  <c r="C5" i="4"/>
  <c r="B5" i="18"/>
  <c r="B6" i="18" s="1"/>
  <c r="C11" i="10"/>
  <c r="C16" i="10" s="1"/>
  <c r="B7" i="18"/>
  <c r="C14" i="9"/>
  <c r="C6" i="14"/>
  <c r="B11" i="10"/>
  <c r="B15" i="8"/>
  <c r="C24" i="9"/>
  <c r="C25" i="9" s="1"/>
  <c r="C34" i="3"/>
  <c r="C33" i="3"/>
  <c r="B32" i="5"/>
  <c r="B31" i="5"/>
  <c r="B25" i="4"/>
  <c r="B18" i="4"/>
  <c r="B17" i="4"/>
  <c r="B14" i="23"/>
  <c r="C24" i="5"/>
  <c r="B8" i="23"/>
  <c r="C29" i="7"/>
  <c r="B3" i="21"/>
  <c r="C22" i="5"/>
  <c r="B30" i="6"/>
  <c r="C42" i="3"/>
  <c r="B23" i="4"/>
  <c r="B37" i="6"/>
  <c r="C14" i="5"/>
  <c r="C27" i="5" s="1"/>
  <c r="C31" i="3"/>
  <c r="B13" i="4"/>
  <c r="B16" i="21"/>
  <c r="C43" i="5"/>
  <c r="B23" i="3"/>
  <c r="B41" i="6"/>
  <c r="B25" i="3"/>
  <c r="C29" i="3"/>
  <c r="B40" i="3"/>
  <c r="B16" i="4"/>
  <c r="C32" i="5"/>
  <c r="C39" i="3"/>
  <c r="B47" i="6"/>
  <c r="B36" i="5"/>
  <c r="B35" i="3"/>
  <c r="B43" i="4"/>
  <c r="B43" i="5"/>
  <c r="C28" i="5"/>
  <c r="B43" i="6"/>
  <c r="B16" i="10"/>
  <c r="B35" i="5"/>
  <c r="C40" i="5"/>
  <c r="B62" i="6"/>
  <c r="B40" i="6"/>
  <c r="C32" i="3"/>
  <c r="B29" i="5"/>
  <c r="C36" i="5"/>
  <c r="B22" i="4"/>
  <c r="B27" i="4"/>
  <c r="B21" i="4"/>
  <c r="B20" i="4"/>
  <c r="B26" i="4"/>
  <c r="B14" i="4"/>
  <c r="C30" i="3"/>
  <c r="C36" i="3"/>
  <c r="C35" i="3"/>
  <c r="C41" i="3"/>
  <c r="C40" i="3"/>
  <c r="C38" i="3"/>
  <c r="C27" i="3"/>
  <c r="C26" i="3"/>
  <c r="B39" i="5"/>
  <c r="B40" i="5"/>
  <c r="B59" i="5"/>
  <c r="B42" i="5"/>
  <c r="B30" i="5"/>
  <c r="B41" i="5"/>
  <c r="B28" i="5"/>
  <c r="B34" i="5"/>
  <c r="B38" i="5"/>
  <c r="B65" i="5"/>
  <c r="B37" i="5"/>
  <c r="B33" i="6"/>
  <c r="B35" i="6"/>
  <c r="B46" i="6"/>
  <c r="B45" i="6"/>
  <c r="C42" i="6"/>
  <c r="B44" i="6"/>
  <c r="B39" i="6"/>
  <c r="B34" i="6"/>
  <c r="B31" i="6"/>
  <c r="B42" i="6"/>
  <c r="B32" i="6"/>
  <c r="B36" i="6"/>
  <c r="B38" i="6"/>
  <c r="C34" i="5"/>
  <c r="C41" i="5"/>
  <c r="C33" i="5"/>
  <c r="C30" i="5"/>
  <c r="C44" i="5"/>
  <c r="C42" i="5"/>
  <c r="C35" i="5"/>
  <c r="C37" i="5"/>
  <c r="C59" i="5"/>
  <c r="C38" i="5"/>
  <c r="C31" i="5"/>
  <c r="C39" i="5"/>
  <c r="C29" i="5"/>
  <c r="B27" i="3"/>
  <c r="B38" i="3"/>
  <c r="B32" i="3"/>
  <c r="B34" i="3"/>
  <c r="B28" i="3"/>
  <c r="B33" i="3"/>
  <c r="B39" i="3"/>
  <c r="B31" i="3"/>
  <c r="B41" i="3"/>
  <c r="B36" i="3"/>
  <c r="B42" i="3"/>
  <c r="B30" i="3"/>
  <c r="B37" i="3"/>
  <c r="B29" i="3"/>
  <c r="B26" i="3"/>
  <c r="B43" i="3"/>
  <c r="B44" i="3" s="1"/>
  <c r="B68" i="6"/>
  <c r="B8" i="18"/>
  <c r="C29" i="4"/>
  <c r="B10" i="22"/>
  <c r="B19" i="22" s="1"/>
  <c r="C20" i="22"/>
  <c r="C23" i="22" s="1"/>
  <c r="C65" i="5"/>
  <c r="C16" i="6"/>
  <c r="C30" i="6" s="1"/>
  <c r="C32" i="8"/>
  <c r="B25" i="10"/>
  <c r="C25" i="10"/>
  <c r="C43" i="3"/>
  <c r="C44" i="3" s="1"/>
  <c r="C16" i="7"/>
  <c r="B24" i="9"/>
  <c r="B16" i="8"/>
  <c r="B32" i="8" s="1"/>
  <c r="B49" i="4"/>
  <c r="C11" i="4"/>
  <c r="B15" i="14"/>
  <c r="B6" i="21"/>
  <c r="C36" i="9"/>
  <c r="B48" i="6"/>
  <c r="B49" i="6" s="1"/>
  <c r="B29" i="4"/>
  <c r="C15" i="14"/>
  <c r="B45" i="5"/>
  <c r="B46" i="5" s="1"/>
  <c r="B17" i="7"/>
  <c r="C45" i="5"/>
  <c r="C46" i="5" s="1"/>
  <c r="B47" i="3"/>
  <c r="B49" i="3"/>
  <c r="B55" i="3"/>
  <c r="B45" i="3"/>
  <c r="B48" i="3"/>
  <c r="B50" i="3"/>
  <c r="B54" i="3"/>
  <c r="C44" i="6"/>
  <c r="C32" i="6"/>
  <c r="C41" i="6"/>
  <c r="C40" i="6"/>
  <c r="C33" i="6"/>
  <c r="C34" i="6"/>
  <c r="C38" i="6"/>
  <c r="C45" i="6"/>
  <c r="C46" i="6"/>
  <c r="C35" i="6"/>
  <c r="C36" i="6"/>
  <c r="C31" i="6"/>
  <c r="C47" i="6"/>
  <c r="C43" i="6"/>
  <c r="C39" i="6"/>
  <c r="C62" i="6"/>
  <c r="C37" i="6"/>
  <c r="C45" i="8"/>
  <c r="C42" i="8"/>
  <c r="C33" i="8"/>
  <c r="C47" i="8"/>
  <c r="C46" i="8"/>
  <c r="C41" i="8"/>
  <c r="C36" i="8"/>
  <c r="C35" i="8"/>
  <c r="C49" i="8"/>
  <c r="C48" i="8"/>
  <c r="C43" i="8"/>
  <c r="C40" i="8"/>
  <c r="C64" i="8"/>
  <c r="C70" i="8" s="1"/>
  <c r="C38" i="8"/>
  <c r="C37" i="8"/>
  <c r="C44" i="8"/>
  <c r="C34" i="8"/>
  <c r="C39" i="8"/>
  <c r="C26" i="10"/>
  <c r="C27" i="10"/>
  <c r="C37" i="10" s="1"/>
  <c r="C55" i="3"/>
  <c r="C49" i="3"/>
  <c r="C45" i="3"/>
  <c r="C54" i="3"/>
  <c r="C48" i="3"/>
  <c r="C50" i="3"/>
  <c r="C47" i="3"/>
  <c r="B48" i="8"/>
  <c r="B37" i="8"/>
  <c r="B36" i="8"/>
  <c r="B44" i="8"/>
  <c r="B39" i="8"/>
  <c r="B43" i="8"/>
  <c r="B64" i="8"/>
  <c r="B70" i="8" s="1"/>
  <c r="B46" i="8"/>
  <c r="B35" i="8"/>
  <c r="B49" i="8"/>
  <c r="B47" i="8"/>
  <c r="B40" i="8"/>
  <c r="B42" i="8"/>
  <c r="B38" i="8"/>
  <c r="B45" i="8"/>
  <c r="B34" i="8"/>
  <c r="B33" i="8"/>
  <c r="B41" i="8"/>
  <c r="C24" i="4"/>
  <c r="C20" i="4"/>
  <c r="C30" i="4"/>
  <c r="C31" i="4"/>
  <c r="C18" i="4"/>
  <c r="C41" i="4"/>
  <c r="C22" i="4"/>
  <c r="C15" i="4"/>
  <c r="C26" i="4"/>
  <c r="C36" i="4"/>
  <c r="C27" i="4"/>
  <c r="C21" i="4"/>
  <c r="C12" i="4"/>
  <c r="C17" i="4"/>
  <c r="C25" i="4"/>
  <c r="C14" i="4"/>
  <c r="C33" i="4"/>
  <c r="C13" i="4"/>
  <c r="C19" i="4"/>
  <c r="C23" i="4"/>
  <c r="C43" i="4"/>
  <c r="C34" i="4"/>
  <c r="C35" i="4"/>
  <c r="C40" i="4"/>
  <c r="C16" i="4"/>
  <c r="B16" i="14"/>
  <c r="B70" i="14"/>
  <c r="B9" i="21"/>
  <c r="B8" i="21"/>
  <c r="B7" i="21"/>
  <c r="C39" i="9"/>
  <c r="C37" i="9"/>
  <c r="C44" i="9"/>
  <c r="C52" i="9"/>
  <c r="C50" i="9"/>
  <c r="C68" i="9"/>
  <c r="C42" i="9"/>
  <c r="C43" i="9"/>
  <c r="C48" i="9"/>
  <c r="C46" i="9"/>
  <c r="C51" i="9"/>
  <c r="C45" i="9"/>
  <c r="C53" i="9"/>
  <c r="C41" i="9"/>
  <c r="C38" i="9"/>
  <c r="C49" i="9"/>
  <c r="C40" i="9"/>
  <c r="C47" i="9"/>
  <c r="B60" i="6"/>
  <c r="B52" i="6"/>
  <c r="B50" i="6"/>
  <c r="B55" i="6"/>
  <c r="B54" i="6"/>
  <c r="B59" i="6"/>
  <c r="B53" i="6"/>
  <c r="C16" i="14"/>
  <c r="C70" i="14"/>
  <c r="C71" i="14" s="1"/>
  <c r="C74" i="14" s="1"/>
  <c r="C76" i="14" s="1"/>
  <c r="B56" i="5"/>
  <c r="B50" i="5"/>
  <c r="B51" i="5"/>
  <c r="B52" i="5"/>
  <c r="B47" i="5"/>
  <c r="B57" i="5"/>
  <c r="B49" i="5"/>
  <c r="C47" i="5"/>
  <c r="C56" i="5"/>
  <c r="C52" i="5"/>
  <c r="C51" i="5"/>
  <c r="C50" i="5"/>
  <c r="C49" i="5"/>
  <c r="C57" i="5"/>
  <c r="B56" i="3"/>
  <c r="B51" i="3"/>
  <c r="B52" i="3" s="1"/>
  <c r="C51" i="10"/>
  <c r="C54" i="10"/>
  <c r="C49" i="10"/>
  <c r="C38" i="10"/>
  <c r="C40" i="10"/>
  <c r="C48" i="10"/>
  <c r="C44" i="10"/>
  <c r="C50" i="10"/>
  <c r="C46" i="10"/>
  <c r="C53" i="10"/>
  <c r="C43" i="10"/>
  <c r="C42" i="10"/>
  <c r="C52" i="10"/>
  <c r="C41" i="10"/>
  <c r="C69" i="10"/>
  <c r="C45" i="10"/>
  <c r="C39" i="10"/>
  <c r="C47" i="10"/>
  <c r="C56" i="3"/>
  <c r="C51" i="3"/>
  <c r="C52" i="3" s="1"/>
  <c r="C42" i="4"/>
  <c r="C37" i="4"/>
  <c r="C38" i="4" s="1"/>
  <c r="B79" i="14"/>
  <c r="B31" i="14"/>
  <c r="B30" i="14"/>
  <c r="B22" i="14"/>
  <c r="B24" i="14"/>
  <c r="B29" i="14"/>
  <c r="B28" i="14"/>
  <c r="B17" i="14"/>
  <c r="B23" i="14"/>
  <c r="B27" i="14"/>
  <c r="B19" i="14"/>
  <c r="B32" i="14"/>
  <c r="B21" i="14"/>
  <c r="B20" i="14"/>
  <c r="B18" i="14"/>
  <c r="B26" i="14"/>
  <c r="B49" i="14"/>
  <c r="B25" i="14"/>
  <c r="B34" i="14"/>
  <c r="B71" i="14"/>
  <c r="B74" i="14" s="1"/>
  <c r="B76" i="14" s="1"/>
  <c r="B61" i="6"/>
  <c r="B56" i="6"/>
  <c r="C79" i="14"/>
  <c r="C32" i="14"/>
  <c r="C26" i="14"/>
  <c r="C39" i="14"/>
  <c r="C19" i="14"/>
  <c r="C21" i="14"/>
  <c r="C30" i="14"/>
  <c r="C49" i="14"/>
  <c r="C27" i="14"/>
  <c r="C18" i="14"/>
  <c r="C28" i="14"/>
  <c r="C31" i="14"/>
  <c r="C25" i="14"/>
  <c r="C22" i="14"/>
  <c r="C24" i="14"/>
  <c r="C23" i="14"/>
  <c r="C29" i="14"/>
  <c r="C34" i="14"/>
  <c r="C17" i="14"/>
  <c r="C46" i="14"/>
  <c r="C41" i="14"/>
  <c r="C20" i="14"/>
  <c r="B58" i="5"/>
  <c r="B53" i="5"/>
  <c r="C53" i="5"/>
  <c r="C58" i="5"/>
  <c r="B80" i="14"/>
  <c r="B83" i="14" s="1"/>
  <c r="B84" i="14" s="1"/>
  <c r="B35" i="14"/>
  <c r="C35" i="14"/>
  <c r="C54" i="5"/>
  <c r="C74" i="9"/>
  <c r="B25" i="9"/>
  <c r="B36" i="9" s="1"/>
  <c r="B54" i="5"/>
  <c r="C49" i="4"/>
  <c r="C17" i="7"/>
  <c r="C18" i="7" s="1"/>
  <c r="C34" i="7" s="1"/>
  <c r="C80" i="14"/>
  <c r="C83" i="14" s="1"/>
  <c r="C84" i="14" s="1"/>
  <c r="B50" i="8"/>
  <c r="B51" i="8" s="1"/>
  <c r="B26" i="10"/>
  <c r="B27" i="10" s="1"/>
  <c r="B37" i="10" s="1"/>
  <c r="B57" i="6"/>
  <c r="C50" i="8"/>
  <c r="C51" i="8" s="1"/>
  <c r="C33" i="22"/>
  <c r="B77" i="14"/>
  <c r="B78" i="14" s="1"/>
  <c r="C68" i="6"/>
  <c r="B20" i="22"/>
  <c r="B23" i="22" s="1"/>
  <c r="B33" i="22" s="1"/>
  <c r="C36" i="14"/>
  <c r="C55" i="10"/>
  <c r="C48" i="6"/>
  <c r="B36" i="14"/>
  <c r="C77" i="14"/>
  <c r="B18" i="7"/>
  <c r="B34" i="7" s="1"/>
  <c r="B85" i="14"/>
  <c r="C54" i="9"/>
  <c r="C55" i="9" s="1"/>
  <c r="B30" i="4"/>
  <c r="B42" i="9"/>
  <c r="B68" i="9"/>
  <c r="B53" i="9"/>
  <c r="B50" i="9"/>
  <c r="B37" i="9"/>
  <c r="B41" i="9"/>
  <c r="B46" i="9"/>
  <c r="B49" i="9"/>
  <c r="B40" i="9"/>
  <c r="B51" i="9"/>
  <c r="B45" i="9"/>
  <c r="B44" i="9"/>
  <c r="B48" i="9"/>
  <c r="B39" i="9"/>
  <c r="B52" i="9"/>
  <c r="B38" i="9"/>
  <c r="B43" i="9"/>
  <c r="B47" i="9"/>
  <c r="C45" i="7"/>
  <c r="C42" i="7"/>
  <c r="C51" i="7"/>
  <c r="C35" i="7"/>
  <c r="C46" i="7"/>
  <c r="C41" i="7"/>
  <c r="C50" i="7"/>
  <c r="C48" i="7"/>
  <c r="C39" i="7"/>
  <c r="C37" i="7"/>
  <c r="C44" i="7"/>
  <c r="C36" i="7"/>
  <c r="C38" i="7"/>
  <c r="C43" i="7"/>
  <c r="C40" i="7"/>
  <c r="C47" i="7"/>
  <c r="C66" i="7"/>
  <c r="C49" i="7"/>
  <c r="B61" i="8"/>
  <c r="B52" i="8"/>
  <c r="B55" i="8"/>
  <c r="B56" i="8"/>
  <c r="B57" i="8"/>
  <c r="B62" i="8"/>
  <c r="B54" i="8"/>
  <c r="B44" i="10"/>
  <c r="B53" i="10"/>
  <c r="B52" i="10"/>
  <c r="B46" i="10"/>
  <c r="B40" i="10"/>
  <c r="B41" i="10"/>
  <c r="B50" i="10"/>
  <c r="B54" i="10"/>
  <c r="B39" i="10"/>
  <c r="B38" i="10"/>
  <c r="B51" i="10"/>
  <c r="B49" i="10"/>
  <c r="B42" i="10"/>
  <c r="B43" i="10"/>
  <c r="B69" i="10"/>
  <c r="B45" i="10"/>
  <c r="B48" i="10"/>
  <c r="B47" i="10"/>
  <c r="C61" i="8"/>
  <c r="C55" i="8"/>
  <c r="C52" i="8"/>
  <c r="C57" i="8"/>
  <c r="C54" i="8"/>
  <c r="C62" i="8"/>
  <c r="C56" i="8"/>
  <c r="C61" i="14"/>
  <c r="C62" i="14" s="1"/>
  <c r="C68" i="14" s="1"/>
  <c r="C60" i="14"/>
  <c r="C58" i="14"/>
  <c r="C59" i="14" s="1"/>
  <c r="C47" i="14"/>
  <c r="C42" i="14"/>
  <c r="C37" i="14"/>
  <c r="C40" i="14"/>
  <c r="B58" i="14"/>
  <c r="B59" i="14" s="1"/>
  <c r="B61" i="14"/>
  <c r="B62" i="14" s="1"/>
  <c r="B68" i="14" s="1"/>
  <c r="B60" i="14"/>
  <c r="B47" i="14"/>
  <c r="B41" i="14"/>
  <c r="B42" i="14"/>
  <c r="B39" i="14"/>
  <c r="B37" i="14"/>
  <c r="B40" i="14"/>
  <c r="B46" i="14"/>
  <c r="B36" i="7"/>
  <c r="B46" i="7"/>
  <c r="B45" i="7"/>
  <c r="B41" i="7"/>
  <c r="B38" i="7"/>
  <c r="B37" i="7"/>
  <c r="B51" i="7"/>
  <c r="B50" i="7"/>
  <c r="B49" i="7"/>
  <c r="B42" i="7"/>
  <c r="B48" i="7"/>
  <c r="B44" i="7"/>
  <c r="B40" i="7"/>
  <c r="B39" i="7"/>
  <c r="B35" i="7"/>
  <c r="B66" i="7"/>
  <c r="B47" i="7"/>
  <c r="B43" i="7"/>
  <c r="C61" i="9"/>
  <c r="C66" i="9"/>
  <c r="C60" i="9"/>
  <c r="C56" i="9"/>
  <c r="C58" i="9"/>
  <c r="C59" i="9"/>
  <c r="C65" i="9"/>
  <c r="B41" i="4"/>
  <c r="B31" i="4"/>
  <c r="B40" i="4"/>
  <c r="B34" i="4"/>
  <c r="B33" i="4"/>
  <c r="B36" i="4"/>
  <c r="B35" i="4"/>
  <c r="B63" i="8"/>
  <c r="B58" i="8"/>
  <c r="C63" i="8"/>
  <c r="C58" i="8"/>
  <c r="C48" i="14"/>
  <c r="C51" i="14"/>
  <c r="C52" i="14" s="1"/>
  <c r="C43" i="14"/>
  <c r="C50" i="14"/>
  <c r="B48" i="14"/>
  <c r="B50" i="14"/>
  <c r="B51" i="14"/>
  <c r="B43" i="14"/>
  <c r="B44" i="14" s="1"/>
  <c r="C67" i="9"/>
  <c r="C62" i="9"/>
  <c r="B42" i="4"/>
  <c r="B37" i="4"/>
  <c r="C44" i="14"/>
  <c r="B54" i="9"/>
  <c r="B55" i="9" s="1"/>
  <c r="C85" i="14"/>
  <c r="C86" i="14" s="1"/>
  <c r="C87" i="14" s="1"/>
  <c r="C57" i="14"/>
  <c r="B74" i="9"/>
  <c r="C59" i="8"/>
  <c r="B86" i="14"/>
  <c r="B87" i="14" s="1"/>
  <c r="B59" i="8"/>
  <c r="C78" i="14"/>
  <c r="B52" i="7"/>
  <c r="C49" i="6"/>
  <c r="B38" i="4"/>
  <c r="B55" i="10"/>
  <c r="B56" i="10" s="1"/>
  <c r="C56" i="10"/>
  <c r="C63" i="9"/>
  <c r="C72" i="7"/>
  <c r="B43" i="22"/>
  <c r="B52" i="14"/>
  <c r="B57" i="14" s="1"/>
  <c r="C52" i="7"/>
  <c r="C53" i="7" s="1"/>
  <c r="C43" i="22"/>
  <c r="B61" i="9"/>
  <c r="B58" i="9"/>
  <c r="B59" i="9"/>
  <c r="B56" i="9"/>
  <c r="B66" i="9"/>
  <c r="B60" i="9"/>
  <c r="B65" i="9"/>
  <c r="C60" i="6"/>
  <c r="C53" i="6"/>
  <c r="C54" i="6"/>
  <c r="C50" i="6"/>
  <c r="C55" i="6"/>
  <c r="C52" i="6"/>
  <c r="C59" i="6"/>
  <c r="B75" i="10"/>
  <c r="B61" i="10"/>
  <c r="B62" i="10"/>
  <c r="B66" i="10"/>
  <c r="B57" i="10"/>
  <c r="B60" i="10"/>
  <c r="B59" i="10"/>
  <c r="B67" i="10"/>
  <c r="C61" i="10"/>
  <c r="C75" i="10"/>
  <c r="C60" i="10"/>
  <c r="C59" i="10"/>
  <c r="C66" i="10"/>
  <c r="C57" i="10"/>
  <c r="C62" i="10"/>
  <c r="C67" i="10"/>
  <c r="B50" i="22"/>
  <c r="B51" i="22"/>
  <c r="B54" i="22"/>
  <c r="B52" i="22"/>
  <c r="B53" i="22"/>
  <c r="B56" i="22"/>
  <c r="B55" i="22"/>
  <c r="B59" i="22"/>
  <c r="B57" i="22"/>
  <c r="B75" i="22"/>
  <c r="B44" i="22"/>
  <c r="B49" i="22"/>
  <c r="B46" i="22"/>
  <c r="B47" i="22"/>
  <c r="B81" i="22"/>
  <c r="B58" i="22"/>
  <c r="B60" i="22"/>
  <c r="B61" i="22" s="1"/>
  <c r="B48" i="22"/>
  <c r="B45" i="22"/>
  <c r="C63" i="7"/>
  <c r="C54" i="7"/>
  <c r="C64" i="7"/>
  <c r="C56" i="7"/>
  <c r="C58" i="7"/>
  <c r="C59" i="7"/>
  <c r="C57" i="7"/>
  <c r="C49" i="22"/>
  <c r="C56" i="22"/>
  <c r="C75" i="22"/>
  <c r="C60" i="22"/>
  <c r="C61" i="22" s="1"/>
  <c r="C62" i="22" s="1"/>
  <c r="C63" i="22"/>
  <c r="C46" i="22"/>
  <c r="C65" i="22"/>
  <c r="C81" i="22"/>
  <c r="C48" i="22"/>
  <c r="C53" i="22"/>
  <c r="C68" i="22"/>
  <c r="C52" i="22"/>
  <c r="C45" i="22"/>
  <c r="C54" i="22"/>
  <c r="C51" i="22"/>
  <c r="C50" i="22"/>
  <c r="C47" i="22"/>
  <c r="C59" i="22"/>
  <c r="C58" i="22"/>
  <c r="C55" i="22"/>
  <c r="C57" i="22"/>
  <c r="C44" i="22"/>
  <c r="B67" i="9"/>
  <c r="B62" i="9"/>
  <c r="C61" i="6"/>
  <c r="C56" i="6"/>
  <c r="B68" i="10"/>
  <c r="B63" i="10"/>
  <c r="C68" i="10"/>
  <c r="C63" i="10"/>
  <c r="C65" i="7"/>
  <c r="C60" i="7"/>
  <c r="C72" i="22"/>
  <c r="C67" i="22"/>
  <c r="C66" i="22"/>
  <c r="C73" i="22"/>
  <c r="C74" i="22"/>
  <c r="C69" i="22"/>
  <c r="B64" i="10"/>
  <c r="C57" i="6"/>
  <c r="B63" i="9"/>
  <c r="B53" i="7"/>
  <c r="C70" i="22"/>
  <c r="C61" i="7"/>
  <c r="C64" i="10"/>
  <c r="B62" i="22"/>
  <c r="B72" i="7"/>
  <c r="B56" i="7"/>
  <c r="B63" i="7"/>
  <c r="B64" i="7"/>
  <c r="B54" i="7"/>
  <c r="B57" i="7"/>
  <c r="B58" i="7"/>
  <c r="B59" i="7"/>
  <c r="B65" i="22"/>
  <c r="B72" i="22"/>
  <c r="B66" i="22"/>
  <c r="B67" i="22"/>
  <c r="B63" i="22"/>
  <c r="B73" i="22"/>
  <c r="B68" i="22"/>
  <c r="B65" i="7"/>
  <c r="B60" i="7"/>
  <c r="B74" i="22"/>
  <c r="B69" i="22"/>
  <c r="B61" i="7"/>
  <c r="B70" i="22"/>
  <c r="C30" i="13"/>
  <c r="C83" i="13"/>
  <c r="B22" i="13"/>
  <c r="B25" i="13" s="1"/>
  <c r="B30" i="13"/>
  <c r="B83" i="13"/>
  <c r="C48" i="13"/>
  <c r="C49" i="13" s="1"/>
  <c r="C92" i="13"/>
  <c r="C31" i="13"/>
  <c r="C35" i="13"/>
  <c r="C39" i="13"/>
  <c r="C43" i="13"/>
  <c r="C32" i="13"/>
  <c r="C36" i="13"/>
  <c r="C40" i="13"/>
  <c r="C44" i="13"/>
  <c r="C63" i="13"/>
  <c r="C33" i="13"/>
  <c r="C37" i="13"/>
  <c r="C41" i="13"/>
  <c r="C45" i="13"/>
  <c r="C50" i="13"/>
  <c r="C55" i="13"/>
  <c r="C60" i="13"/>
  <c r="C34" i="13"/>
  <c r="C38" i="13"/>
  <c r="C42" i="13"/>
  <c r="C46" i="13"/>
  <c r="C51" i="13"/>
  <c r="C56" i="13"/>
  <c r="C61" i="13"/>
  <c r="C73" i="13"/>
  <c r="C84" i="13"/>
  <c r="C87" i="13" s="1"/>
  <c r="C89" i="13" s="1"/>
  <c r="C90" i="13"/>
  <c r="C91" i="13" s="1"/>
  <c r="B92" i="13"/>
  <c r="B35" i="13"/>
  <c r="B39" i="13"/>
  <c r="B43" i="13"/>
  <c r="B48" i="13"/>
  <c r="B49" i="13" s="1"/>
  <c r="B36" i="13"/>
  <c r="B40" i="13"/>
  <c r="B44" i="13"/>
  <c r="B63" i="13"/>
  <c r="B32" i="13"/>
  <c r="B41" i="13"/>
  <c r="B45" i="13"/>
  <c r="B50" i="13"/>
  <c r="B55" i="13"/>
  <c r="B31" i="13"/>
  <c r="B33" i="13"/>
  <c r="B37" i="13"/>
  <c r="B34" i="13"/>
  <c r="B38" i="13"/>
  <c r="B42" i="13"/>
  <c r="B46" i="13"/>
  <c r="B51" i="13"/>
  <c r="B56" i="13"/>
  <c r="B61" i="13"/>
  <c r="B73" i="13"/>
  <c r="B84" i="13"/>
  <c r="B87" i="13" s="1"/>
  <c r="B89" i="13" s="1"/>
  <c r="B90" i="13"/>
  <c r="B91" i="13" s="1"/>
  <c r="C93" i="13"/>
  <c r="C96" i="13" s="1"/>
  <c r="C71" i="13"/>
  <c r="C72" i="13" s="1"/>
  <c r="C54" i="13"/>
  <c r="C74" i="13"/>
  <c r="C75" i="13" s="1"/>
  <c r="C81" i="13" s="1"/>
  <c r="C53" i="13"/>
  <c r="C62" i="13"/>
  <c r="C57" i="13"/>
  <c r="C58" i="13" s="1"/>
  <c r="C64" i="13"/>
  <c r="B93" i="13"/>
  <c r="B96" i="13" s="1"/>
  <c r="B60" i="13"/>
  <c r="B71" i="13"/>
  <c r="B72" i="13" s="1"/>
  <c r="B54" i="13"/>
  <c r="B74" i="13"/>
  <c r="B75" i="13" s="1"/>
  <c r="B81" i="13" s="1"/>
  <c r="B53" i="13"/>
  <c r="B62" i="13"/>
  <c r="B57" i="13"/>
  <c r="B58" i="13" s="1"/>
  <c r="B64" i="13"/>
  <c r="C97" i="13"/>
  <c r="C98" i="13"/>
  <c r="C99" i="13" s="1"/>
  <c r="C100" i="13" s="1"/>
  <c r="C65" i="13"/>
  <c r="C70" i="13" s="1"/>
  <c r="B97" i="13"/>
  <c r="B98" i="13"/>
  <c r="B99" i="13" s="1"/>
  <c r="B100" i="13" s="1"/>
  <c r="B65" i="13"/>
  <c r="B70" i="13" s="1"/>
</calcChain>
</file>

<file path=xl/sharedStrings.xml><?xml version="1.0" encoding="utf-8"?>
<sst xmlns="http://schemas.openxmlformats.org/spreadsheetml/2006/main" count="1054" uniqueCount="212">
  <si>
    <t>Bond</t>
  </si>
  <si>
    <t>ZeroCouponBond</t>
  </si>
  <si>
    <t>FixedRateBond</t>
  </si>
  <si>
    <t>AmortizingFixedRateBond</t>
  </si>
  <si>
    <t>AmortizingFloatingRateBond</t>
  </si>
  <si>
    <t>FloatingRateBond</t>
  </si>
  <si>
    <t>CmsRateBond</t>
  </si>
  <si>
    <t>AmortizingCmsRateBond</t>
  </si>
  <si>
    <t>CallableFixedRateBond</t>
  </si>
  <si>
    <t>CallableZeroCouponBond</t>
  </si>
  <si>
    <t>TreeCallableFixedRateBondEngine</t>
  </si>
  <si>
    <t>CPIBond</t>
  </si>
  <si>
    <t>ref_date</t>
  </si>
  <si>
    <t>evaluation_date (qlSettingsSetEvaluationDate)</t>
  </si>
  <si>
    <t>settlement_days</t>
  </si>
  <si>
    <t>face_amount</t>
  </si>
  <si>
    <t>maturity_date</t>
  </si>
  <si>
    <t>issue_date</t>
  </si>
  <si>
    <t>calendar (qlCalendar)</t>
  </si>
  <si>
    <t>qlBond</t>
  </si>
  <si>
    <t>qlBondNextCouponRate</t>
  </si>
  <si>
    <t>qlBondPreviousCouponRate</t>
  </si>
  <si>
    <t>qlBondNextCashFlowDate</t>
  </si>
  <si>
    <t>qlBondPreviousCashFlowDate</t>
  </si>
  <si>
    <t>qlBondSettlementDays</t>
  </si>
  <si>
    <t>qlBondSettlementDate</t>
  </si>
  <si>
    <t>qlBondIsTradable</t>
  </si>
  <si>
    <t>qlBondStartDate</t>
  </si>
  <si>
    <t>qlBondMaturityDate</t>
  </si>
  <si>
    <t>qlBondIssueDate</t>
  </si>
  <si>
    <t>qlBondCashFlows</t>
  </si>
  <si>
    <t>qlBondCalendar</t>
  </si>
  <si>
    <t>qlBondNotional</t>
  </si>
  <si>
    <t>qlBondCleanPrice</t>
  </si>
  <si>
    <t>qlBondCleanPrice2</t>
  </si>
  <si>
    <t>qlBondDirtyPrice</t>
  </si>
  <si>
    <t>qlBondDirtyPrice2</t>
  </si>
  <si>
    <t>qlBondYield</t>
  </si>
  <si>
    <t>qlBondYield2</t>
  </si>
  <si>
    <t>qlBondAccruedAmount</t>
  </si>
  <si>
    <t>qlBondSettlementValue</t>
  </si>
  <si>
    <t>qlBondSettlementValue2</t>
  </si>
  <si>
    <t>calender</t>
  </si>
  <si>
    <t>Target</t>
  </si>
  <si>
    <t>start date</t>
  </si>
  <si>
    <t>end date</t>
  </si>
  <si>
    <t>tenor</t>
  </si>
  <si>
    <t>convention</t>
  </si>
  <si>
    <t>day counter</t>
  </si>
  <si>
    <t>qlMakeSchedule</t>
  </si>
  <si>
    <t>cashflows (qlFixedRateLeg)</t>
  </si>
  <si>
    <t>qlBondSetDiscountingEngine</t>
  </si>
  <si>
    <t>12m</t>
  </si>
  <si>
    <t>Unadjusted</t>
  </si>
  <si>
    <t>settlement (date)</t>
  </si>
  <si>
    <t>discounting_curve (qlFlat)</t>
  </si>
  <si>
    <t>yield</t>
  </si>
  <si>
    <t>qlBondRedemption</t>
  </si>
  <si>
    <t>qlBondRedemptions</t>
  </si>
  <si>
    <t>qlBondNotionals</t>
  </si>
  <si>
    <t>calendar</t>
  </si>
  <si>
    <t>business_day_convention</t>
  </si>
  <si>
    <t>qlZeroCouponBond</t>
  </si>
  <si>
    <t>redemption</t>
  </si>
  <si>
    <t>Following</t>
  </si>
  <si>
    <t>schedule</t>
  </si>
  <si>
    <t>coupons</t>
  </si>
  <si>
    <t>payment_day_counter</t>
  </si>
  <si>
    <t>payment_calendar</t>
  </si>
  <si>
    <t>ex_coupon_period</t>
  </si>
  <si>
    <t>ex_coupon_calendar</t>
  </si>
  <si>
    <t>ex_coupon_convention</t>
  </si>
  <si>
    <t>ex_coupon_end_of_month</t>
  </si>
  <si>
    <t>effective_date</t>
  </si>
  <si>
    <t>termination_date</t>
  </si>
  <si>
    <t>termination_date_convention</t>
  </si>
  <si>
    <t>3M</t>
  </si>
  <si>
    <t>date_generation_rule</t>
  </si>
  <si>
    <t>end_of_month</t>
  </si>
  <si>
    <t>Forward</t>
  </si>
  <si>
    <t>qlFixedRateBond</t>
  </si>
  <si>
    <t>ModifiedFollowing</t>
  </si>
  <si>
    <t>notionals</t>
  </si>
  <si>
    <t>accrual_day_counter</t>
  </si>
  <si>
    <t>payment_convention</t>
  </si>
  <si>
    <t>qlAmortizingFixedRateBond</t>
  </si>
  <si>
    <t>unadjusted</t>
  </si>
  <si>
    <t>redemptions</t>
  </si>
  <si>
    <t>notional</t>
  </si>
  <si>
    <t>index</t>
  </si>
  <si>
    <t>fixing_days</t>
  </si>
  <si>
    <t>gearings</t>
  </si>
  <si>
    <t>spreads</t>
  </si>
  <si>
    <t>caps</t>
  </si>
  <si>
    <t>floors</t>
  </si>
  <si>
    <t>in_arrears</t>
  </si>
  <si>
    <t>payment_lag</t>
  </si>
  <si>
    <t>qlAmortizingFloatingRateBond</t>
  </si>
  <si>
    <t>qlFloatingRateBond</t>
  </si>
  <si>
    <t>qlCmsRateBond</t>
  </si>
  <si>
    <t>index (qlSwapIndex)</t>
  </si>
  <si>
    <t>family_name</t>
  </si>
  <si>
    <t>Swap_Index</t>
  </si>
  <si>
    <t>currency</t>
  </si>
  <si>
    <t>EUR</t>
  </si>
  <si>
    <t>fixed_leg_tenor</t>
  </si>
  <si>
    <t>fixed_leg_convention</t>
  </si>
  <si>
    <t>fixed_leg_day_counter</t>
  </si>
  <si>
    <t>ACTUAL360</t>
  </si>
  <si>
    <t>ibor_index</t>
  </si>
  <si>
    <t>discount_curve</t>
  </si>
  <si>
    <t>qlAmortizingCmsRateBond</t>
  </si>
  <si>
    <t>x</t>
  </si>
  <si>
    <t>Tabs</t>
  </si>
  <si>
    <t>Pricing Engine tested</t>
  </si>
  <si>
    <t>BlackCallableFixedRateBondEngine</t>
  </si>
  <si>
    <t>BondPrice</t>
  </si>
  <si>
    <t>price</t>
  </si>
  <si>
    <t>type</t>
  </si>
  <si>
    <t>clean</t>
  </si>
  <si>
    <t>qlBondPrice</t>
  </si>
  <si>
    <t>qlBondPriceAmount</t>
  </si>
  <si>
    <t>qlBondPriceType</t>
  </si>
  <si>
    <t>qlBondPriceIsValid</t>
  </si>
  <si>
    <t>Callability</t>
  </si>
  <si>
    <t>price (qlBondPrice)</t>
  </si>
  <si>
    <t>callability_type</t>
  </si>
  <si>
    <t>put</t>
  </si>
  <si>
    <t>date</t>
  </si>
  <si>
    <t>qlCallability</t>
  </si>
  <si>
    <t>qlCallabilityPrice</t>
  </si>
  <si>
    <t>qlCallabilityDate</t>
  </si>
  <si>
    <t>qlCallabilityType</t>
  </si>
  <si>
    <t>put_call_schedule</t>
  </si>
  <si>
    <t xml:space="preserve">date </t>
  </si>
  <si>
    <t>qlCallableFixedRateBond</t>
  </si>
  <si>
    <t>qlBlackCallableFixedRateBondEngine</t>
  </si>
  <si>
    <t>fwd_yield_vol</t>
  </si>
  <si>
    <t>qlCallableBondCallability</t>
  </si>
  <si>
    <t>qlCallableBondImpliedVolatility</t>
  </si>
  <si>
    <t>qlCallableBondOAS</t>
  </si>
  <si>
    <t>qlCallableBondCleanPriceOAS</t>
  </si>
  <si>
    <t>qlCallableBondEffectiveDuration</t>
  </si>
  <si>
    <t>qlCallableBondEffectiveConvexity</t>
  </si>
  <si>
    <t>day_counter</t>
  </si>
  <si>
    <t>qlCallableZeroCouponBond</t>
  </si>
  <si>
    <t>UnAdjusted</t>
  </si>
  <si>
    <t>12M</t>
  </si>
  <si>
    <t>30/360</t>
  </si>
  <si>
    <t>qlInstrumentSetPricingEngine</t>
  </si>
  <si>
    <t>qlBondDiscountingEngine</t>
  </si>
  <si>
    <t>qlInstrumentPricingEngine</t>
  </si>
  <si>
    <t>target_price</t>
  </si>
  <si>
    <t>discounting_curve</t>
  </si>
  <si>
    <t>accuracy</t>
  </si>
  <si>
    <t>max_evaluations</t>
  </si>
  <si>
    <t>min_vol</t>
  </si>
  <si>
    <t>max_vol</t>
  </si>
  <si>
    <t>6M</t>
  </si>
  <si>
    <t>Backward</t>
  </si>
  <si>
    <t>Call</t>
  </si>
  <si>
    <t>qlBondCleanPriceFromZSpread</t>
  </si>
  <si>
    <t>z_spread</t>
  </si>
  <si>
    <t>compounding</t>
  </si>
  <si>
    <t>dc</t>
  </si>
  <si>
    <t>freq</t>
  </si>
  <si>
    <t>settlement_date</t>
  </si>
  <si>
    <t>actual365fixed</t>
  </si>
  <si>
    <t>Compounded</t>
  </si>
  <si>
    <t>Annual</t>
  </si>
  <si>
    <t>TreeCallableFixedRateBondEngine_Bond</t>
  </si>
  <si>
    <t>termstruture</t>
  </si>
  <si>
    <t>a</t>
  </si>
  <si>
    <t>sigma</t>
  </si>
  <si>
    <t>model (qlHullWhite)</t>
  </si>
  <si>
    <t>time_steps</t>
  </si>
  <si>
    <t>qlTreeCallableFixedRateBondEngine</t>
  </si>
  <si>
    <t>TimeGrid_Values</t>
  </si>
  <si>
    <t>TreeCallableFixedRateBondEngine2_Bond</t>
  </si>
  <si>
    <t>time_grid</t>
  </si>
  <si>
    <t>growth_only</t>
  </si>
  <si>
    <t>base_cpi</t>
  </si>
  <si>
    <t>observation_lag</t>
  </si>
  <si>
    <t>cpi_index</t>
  </si>
  <si>
    <t>observation_interpolation</t>
  </si>
  <si>
    <t>familiy_name</t>
  </si>
  <si>
    <t>region</t>
  </si>
  <si>
    <t>revised</t>
  </si>
  <si>
    <t>frequency</t>
  </si>
  <si>
    <t>avaibility_lag</t>
  </si>
  <si>
    <t>zero_inflation_trem_structure</t>
  </si>
  <si>
    <t>TEST_CPI</t>
  </si>
  <si>
    <t>dates</t>
  </si>
  <si>
    <t>rates</t>
  </si>
  <si>
    <t>value</t>
  </si>
  <si>
    <t>qlIndexAddFixing</t>
  </si>
  <si>
    <t>Linear</t>
  </si>
  <si>
    <t>TARGET</t>
  </si>
  <si>
    <t>qlCPIBond</t>
  </si>
  <si>
    <t>BondSinkingSchedule_Notionals</t>
  </si>
  <si>
    <t>start_date</t>
  </si>
  <si>
    <t>bond_length</t>
  </si>
  <si>
    <t>5Y</t>
  </si>
  <si>
    <t>qlBondSinkingSchedule</t>
  </si>
  <si>
    <t>coupon_rate</t>
  </si>
  <si>
    <t>initial_amount</t>
  </si>
  <si>
    <t>qlBondSinkingNotionals</t>
  </si>
  <si>
    <t>{=qlBondSinkingNotionals(B10;B11;B12;B13)}</t>
  </si>
  <si>
    <t>qlSoftCallability</t>
  </si>
  <si>
    <t>trigger_callability</t>
  </si>
  <si>
    <t>fixing_convention</t>
  </si>
  <si>
    <t>Preceding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</si>
</sst>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Fill="1"/>
    <xf numFmtId="0" fontId="1" fillId="0" borderId="1" xfId="0" applyFon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8" xfId="0" applyFont="1" applyBorder="1"/>
    <xf numFmtId="0" fontId="1" fillId="0" borderId="0" xfId="0" applyFont="1" applyBorder="1"/>
    <xf numFmtId="0" fontId="1" fillId="0" borderId="7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15" xfId="0" applyFont="1" applyBorder="1"/>
    <xf numFmtId="0" fontId="0" fillId="0" borderId="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5" xfId="0" applyBorder="1"/>
    <xf numFmtId="0" fontId="4" fillId="0" borderId="15" xfId="0" applyFont="1" applyBorder="1"/>
    <xf numFmtId="0" fontId="3" fillId="0" borderId="15" xfId="0" applyFont="1" applyBorder="1"/>
    <xf numFmtId="0" fontId="0" fillId="0" borderId="15" xfId="0" applyFont="1" applyBorder="1"/>
    <xf numFmtId="0" fontId="3" fillId="0" borderId="17" xfId="0" applyFont="1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2" fillId="0" borderId="12" xfId="0" applyFont="1" applyBorder="1"/>
    <xf numFmtId="14" fontId="2" fillId="0" borderId="13" xfId="0" applyNumberFormat="1" applyFont="1" applyBorder="1" applyAlignment="1">
      <alignment horizontal="left"/>
    </xf>
    <xf numFmtId="14" fontId="2" fillId="0" borderId="14" xfId="0" applyNumberFormat="1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17" xfId="0" applyBorder="1"/>
    <xf numFmtId="14" fontId="0" fillId="0" borderId="1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14" fontId="0" fillId="0" borderId="0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1" fillId="0" borderId="17" xfId="0" applyFont="1" applyBorder="1"/>
    <xf numFmtId="0" fontId="0" fillId="0" borderId="12" xfId="0" applyFont="1" applyBorder="1"/>
    <xf numFmtId="0" fontId="4" fillId="0" borderId="12" xfId="0" applyFont="1" applyBorder="1"/>
    <xf numFmtId="164" fontId="0" fillId="0" borderId="13" xfId="0" applyNumberFormat="1" applyBorder="1" applyAlignment="1">
      <alignment horizontal="left"/>
    </xf>
    <xf numFmtId="164" fontId="0" fillId="0" borderId="14" xfId="0" applyNumberFormat="1" applyBorder="1" applyAlignment="1">
      <alignment horizontal="left"/>
    </xf>
    <xf numFmtId="164" fontId="0" fillId="0" borderId="18" xfId="0" applyNumberFormat="1" applyBorder="1" applyAlignment="1">
      <alignment horizontal="left"/>
    </xf>
    <xf numFmtId="164" fontId="0" fillId="0" borderId="19" xfId="0" applyNumberFormat="1" applyBorder="1" applyAlignment="1">
      <alignment horizontal="left"/>
    </xf>
    <xf numFmtId="0" fontId="3" fillId="0" borderId="20" xfId="0" applyFont="1" applyBorder="1"/>
    <xf numFmtId="164" fontId="0" fillId="0" borderId="21" xfId="0" applyNumberFormat="1" applyBorder="1" applyAlignment="1">
      <alignment horizontal="left"/>
    </xf>
    <xf numFmtId="164" fontId="0" fillId="0" borderId="22" xfId="0" applyNumberFormat="1" applyBorder="1" applyAlignment="1">
      <alignment horizontal="left"/>
    </xf>
    <xf numFmtId="0" fontId="1" fillId="0" borderId="11" xfId="0" applyFont="1" applyBorder="1"/>
    <xf numFmtId="0" fontId="0" fillId="0" borderId="11" xfId="0" applyBorder="1" applyAlignment="1">
      <alignment horizontal="left"/>
    </xf>
    <xf numFmtId="0" fontId="3" fillId="0" borderId="11" xfId="0" applyFont="1" applyBorder="1"/>
    <xf numFmtId="14" fontId="0" fillId="0" borderId="11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0" fontId="3" fillId="0" borderId="23" xfId="0" applyFont="1" applyBorder="1"/>
    <xf numFmtId="0" fontId="0" fillId="0" borderId="23" xfId="0" applyBorder="1" applyAlignment="1">
      <alignment horizontal="left"/>
    </xf>
    <xf numFmtId="11" fontId="0" fillId="0" borderId="0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0" fillId="0" borderId="16" xfId="0" applyNumberFormat="1" applyBorder="1" applyAlignment="1">
      <alignment horizontal="left"/>
    </xf>
    <xf numFmtId="11" fontId="0" fillId="0" borderId="16" xfId="0" applyNumberFormat="1" applyBorder="1" applyAlignment="1">
      <alignment horizontal="left"/>
    </xf>
    <xf numFmtId="0" fontId="3" fillId="0" borderId="17" xfId="0" applyFont="1" applyFill="1" applyBorder="1"/>
    <xf numFmtId="0" fontId="4" fillId="0" borderId="18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1" fillId="0" borderId="20" xfId="0" applyFont="1" applyBorder="1"/>
    <xf numFmtId="2" fontId="0" fillId="0" borderId="0" xfId="0" applyNumberFormat="1" applyBorder="1" applyAlignment="1">
      <alignment horizontal="left"/>
    </xf>
    <xf numFmtId="2" fontId="0" fillId="0" borderId="16" xfId="0" applyNumberFormat="1" applyBorder="1" applyAlignment="1">
      <alignment horizontal="left"/>
    </xf>
    <xf numFmtId="0" fontId="6" fillId="0" borderId="12" xfId="0" applyFont="1" applyBorder="1"/>
    <xf numFmtId="0" fontId="0" fillId="0" borderId="18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7" xfId="0" applyFont="1" applyBorder="1"/>
    <xf numFmtId="0" fontId="0" fillId="0" borderId="1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16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14" fontId="0" fillId="0" borderId="16" xfId="0" applyNumberFormat="1" applyFont="1" applyBorder="1" applyAlignment="1">
      <alignment horizontal="left"/>
    </xf>
    <xf numFmtId="14" fontId="0" fillId="0" borderId="13" xfId="0" applyNumberFormat="1" applyFont="1" applyBorder="1" applyAlignment="1">
      <alignment horizontal="left"/>
    </xf>
    <xf numFmtId="14" fontId="0" fillId="0" borderId="14" xfId="0" applyNumberFormat="1" applyFont="1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19" xfId="0" applyFont="1" applyBorder="1" applyAlignment="1">
      <alignment horizontal="left"/>
    </xf>
    <xf numFmtId="0" fontId="0" fillId="0" borderId="23" xfId="0" applyFont="1" applyBorder="1" applyAlignment="1">
      <alignment horizontal="left"/>
    </xf>
    <xf numFmtId="14" fontId="0" fillId="0" borderId="22" xfId="0" applyNumberFormat="1" applyBorder="1" applyAlignment="1">
      <alignment horizontal="left"/>
    </xf>
    <xf numFmtId="0" fontId="3" fillId="0" borderId="5" xfId="0" applyFont="1" applyBorder="1"/>
    <xf numFmtId="0" fontId="4" fillId="0" borderId="17" xfId="0" applyFont="1" applyBorder="1"/>
    <xf numFmtId="0" fontId="2" fillId="0" borderId="17" xfId="0" applyFont="1" applyBorder="1"/>
    <xf numFmtId="0" fontId="4" fillId="0" borderId="9" xfId="0" applyFont="1" applyBorder="1"/>
    <xf numFmtId="0" fontId="1" fillId="0" borderId="12" xfId="0" applyFont="1" applyBorder="1"/>
    <xf numFmtId="0" fontId="1" fillId="0" borderId="15" xfId="0" applyFont="1" applyBorder="1"/>
    <xf numFmtId="14" fontId="0" fillId="0" borderId="21" xfId="0" applyNumberFormat="1" applyBorder="1" applyAlignment="1">
      <alignment horizontal="left"/>
    </xf>
    <xf numFmtId="14" fontId="1" fillId="0" borderId="20" xfId="0" applyNumberFormat="1" applyFont="1" applyBorder="1"/>
    <xf numFmtId="0" fontId="3" fillId="0" borderId="15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16" xfId="0" applyFont="1" applyFill="1" applyBorder="1" applyAlignment="1">
      <alignment horizontal="left"/>
    </xf>
    <xf numFmtId="0" fontId="0" fillId="0" borderId="19" xfId="0" quotePrefix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0" fillId="0" borderId="12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7" xfId="0" applyBorder="1" applyAlignment="1">
      <alignment vertical="center"/>
    </xf>
    <xf numFmtId="0" fontId="2" fillId="0" borderId="12" xfId="0" applyFont="1" applyFill="1" applyBorder="1"/>
    <xf numFmtId="0" fontId="2" fillId="0" borderId="13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5" fillId="0" borderId="15" xfId="0" applyFont="1" applyBorder="1"/>
    <xf numFmtId="0" fontId="2" fillId="0" borderId="15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5" xfId="0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31AC-6B78-4845-B599-86FA814CB2D7}">
  <dimension ref="A1:E17"/>
  <sheetViews>
    <sheetView tabSelected="1" workbookViewId="0"/>
  </sheetViews>
  <sheetFormatPr baseColWidth="10" defaultColWidth="11.5703125" defaultRowHeight="15" x14ac:dyDescent="0.25"/>
  <cols>
    <col min="1" max="1" width="11.42578125" style="4"/>
    <col min="2" max="2" width="36.140625" customWidth="1"/>
    <col min="3" max="3" width="27.7109375" customWidth="1"/>
    <col min="4" max="4" width="33.85546875" customWidth="1"/>
    <col min="5" max="5" width="32.140625" customWidth="1"/>
  </cols>
  <sheetData>
    <row r="1" spans="2:5" ht="15.75" thickBot="1" x14ac:dyDescent="0.3"/>
    <row r="2" spans="2:5" x14ac:dyDescent="0.25">
      <c r="B2" s="5" t="s">
        <v>113</v>
      </c>
      <c r="C2" s="119" t="s">
        <v>114</v>
      </c>
      <c r="D2" s="119"/>
      <c r="E2" s="120"/>
    </row>
    <row r="3" spans="2:5" ht="15.75" thickBot="1" x14ac:dyDescent="0.3">
      <c r="B3" s="6"/>
      <c r="C3" s="7" t="s">
        <v>51</v>
      </c>
      <c r="D3" s="88" t="s">
        <v>10</v>
      </c>
      <c r="E3" s="8" t="s">
        <v>115</v>
      </c>
    </row>
    <row r="4" spans="2:5" x14ac:dyDescent="0.25">
      <c r="B4" s="17" t="s">
        <v>116</v>
      </c>
      <c r="C4" s="15"/>
      <c r="D4" s="15"/>
      <c r="E4" s="16"/>
    </row>
    <row r="5" spans="2:5" x14ac:dyDescent="0.25">
      <c r="B5" s="9" t="s">
        <v>199</v>
      </c>
      <c r="C5" s="15"/>
      <c r="D5" s="15"/>
      <c r="E5" s="16"/>
    </row>
    <row r="6" spans="2:5" x14ac:dyDescent="0.25">
      <c r="B6" s="9" t="s">
        <v>0</v>
      </c>
      <c r="C6" s="10" t="s">
        <v>112</v>
      </c>
      <c r="D6" s="10"/>
      <c r="E6" s="11"/>
    </row>
    <row r="7" spans="2:5" x14ac:dyDescent="0.25">
      <c r="B7" s="9" t="s">
        <v>1</v>
      </c>
      <c r="C7" s="10" t="s">
        <v>112</v>
      </c>
      <c r="D7" s="10"/>
      <c r="E7" s="11"/>
    </row>
    <row r="8" spans="2:5" x14ac:dyDescent="0.25">
      <c r="B8" s="9" t="s">
        <v>2</v>
      </c>
      <c r="C8" s="10" t="s">
        <v>112</v>
      </c>
      <c r="D8" s="10"/>
      <c r="E8" s="11"/>
    </row>
    <row r="9" spans="2:5" x14ac:dyDescent="0.25">
      <c r="B9" s="9" t="s">
        <v>3</v>
      </c>
      <c r="C9" s="10" t="s">
        <v>112</v>
      </c>
      <c r="D9" s="10"/>
      <c r="E9" s="11"/>
    </row>
    <row r="10" spans="2:5" x14ac:dyDescent="0.25">
      <c r="B10" s="9" t="s">
        <v>4</v>
      </c>
      <c r="C10" s="10" t="s">
        <v>112</v>
      </c>
      <c r="D10" s="10"/>
      <c r="E10" s="11"/>
    </row>
    <row r="11" spans="2:5" x14ac:dyDescent="0.25">
      <c r="B11" s="9" t="s">
        <v>5</v>
      </c>
      <c r="C11" s="10" t="s">
        <v>112</v>
      </c>
      <c r="D11" s="10"/>
      <c r="E11" s="11"/>
    </row>
    <row r="12" spans="2:5" x14ac:dyDescent="0.25">
      <c r="B12" s="9" t="s">
        <v>6</v>
      </c>
      <c r="C12" s="10" t="s">
        <v>112</v>
      </c>
      <c r="D12" s="10"/>
      <c r="E12" s="11"/>
    </row>
    <row r="13" spans="2:5" x14ac:dyDescent="0.25">
      <c r="B13" s="14" t="s">
        <v>7</v>
      </c>
      <c r="C13" s="10" t="s">
        <v>112</v>
      </c>
      <c r="D13" s="10"/>
      <c r="E13" s="11"/>
    </row>
    <row r="14" spans="2:5" x14ac:dyDescent="0.25">
      <c r="B14" s="14" t="s">
        <v>124</v>
      </c>
      <c r="C14" s="10"/>
      <c r="D14" s="10"/>
      <c r="E14" s="11"/>
    </row>
    <row r="15" spans="2:5" x14ac:dyDescent="0.25">
      <c r="B15" s="14" t="s">
        <v>8</v>
      </c>
      <c r="C15" s="10"/>
      <c r="D15" s="10" t="s">
        <v>112</v>
      </c>
      <c r="E15" s="11" t="s">
        <v>112</v>
      </c>
    </row>
    <row r="16" spans="2:5" x14ac:dyDescent="0.25">
      <c r="B16" s="14" t="s">
        <v>9</v>
      </c>
      <c r="C16" s="10"/>
      <c r="D16" s="10" t="s">
        <v>112</v>
      </c>
      <c r="E16" s="11" t="s">
        <v>112</v>
      </c>
    </row>
    <row r="17" spans="2:5" ht="15.75" thickBot="1" x14ac:dyDescent="0.3">
      <c r="B17" s="91" t="s">
        <v>11</v>
      </c>
      <c r="C17" s="12" t="s">
        <v>112</v>
      </c>
      <c r="D17" s="12"/>
      <c r="E17" s="13"/>
    </row>
  </sheetData>
  <mergeCells count="1">
    <mergeCell ref="C2:E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7307-DD7A-406E-AD93-A17357F921C0}">
  <dimension ref="A3:B8"/>
  <sheetViews>
    <sheetView workbookViewId="0"/>
  </sheetViews>
  <sheetFormatPr baseColWidth="10" defaultColWidth="11.5703125" defaultRowHeight="15" x14ac:dyDescent="0.25"/>
  <cols>
    <col min="1" max="1" width="24.5703125" customWidth="1"/>
    <col min="2" max="2" width="46" style="2" customWidth="1"/>
  </cols>
  <sheetData>
    <row r="3" spans="1:2" x14ac:dyDescent="0.25">
      <c r="A3" s="18" t="s">
        <v>117</v>
      </c>
      <c r="B3" s="20">
        <v>100</v>
      </c>
    </row>
    <row r="4" spans="1:2" x14ac:dyDescent="0.25">
      <c r="A4" s="24" t="s">
        <v>118</v>
      </c>
      <c r="B4" s="23" t="s">
        <v>119</v>
      </c>
    </row>
    <row r="5" spans="1:2" x14ac:dyDescent="0.25">
      <c r="A5" s="43" t="s">
        <v>120</v>
      </c>
      <c r="B5" s="30" t="str">
        <f>_xll.qlBondPrice(B3,B4)</f>
        <v>欣[test_bonds.xlsx]BondPrice!R5C2BondPrice,A</v>
      </c>
    </row>
    <row r="6" spans="1:2" x14ac:dyDescent="0.25">
      <c r="A6" s="53" t="s">
        <v>121</v>
      </c>
      <c r="B6" s="54">
        <f>_xll.qlBondPriceAmount(B5,B5)</f>
        <v>100</v>
      </c>
    </row>
    <row r="7" spans="1:2" x14ac:dyDescent="0.25">
      <c r="A7" s="53" t="s">
        <v>122</v>
      </c>
      <c r="B7" s="54" t="str">
        <f>_xll.qlBondPriceType(B5,B6)</f>
        <v>CLEAN</v>
      </c>
    </row>
    <row r="8" spans="1:2" x14ac:dyDescent="0.25">
      <c r="A8" s="53" t="s">
        <v>123</v>
      </c>
      <c r="B8" s="54" t="b">
        <f>_xll.qlBondPriceIsValid(B5,B7)</f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D3EA-26F0-4B90-9FC1-2485363E0315}">
  <dimension ref="A1:B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3.28515625" bestFit="1" customWidth="1"/>
    <col min="2" max="2" width="63.7109375" style="2" bestFit="1" customWidth="1"/>
  </cols>
  <sheetData>
    <row r="1" spans="1:2" x14ac:dyDescent="0.25">
      <c r="A1" t="s">
        <v>12</v>
      </c>
      <c r="B1" s="1">
        <v>45659</v>
      </c>
    </row>
    <row r="2" spans="1:2" x14ac:dyDescent="0.25">
      <c r="A2" t="s">
        <v>13</v>
      </c>
      <c r="B2" s="1">
        <f>_xll.qlSettingsSetEvaluationDate(B1)</f>
        <v>45659</v>
      </c>
    </row>
    <row r="4" spans="1:2" x14ac:dyDescent="0.25">
      <c r="A4" s="44" t="s">
        <v>200</v>
      </c>
      <c r="B4" s="40">
        <v>45659</v>
      </c>
    </row>
    <row r="5" spans="1:2" x14ac:dyDescent="0.25">
      <c r="A5" s="27" t="s">
        <v>201</v>
      </c>
      <c r="B5" s="23" t="s">
        <v>202</v>
      </c>
    </row>
    <row r="6" spans="1:2" x14ac:dyDescent="0.25">
      <c r="A6" s="27" t="s">
        <v>188</v>
      </c>
      <c r="B6" s="23" t="s">
        <v>169</v>
      </c>
    </row>
    <row r="7" spans="1:2" x14ac:dyDescent="0.25">
      <c r="A7" s="27" t="s">
        <v>68</v>
      </c>
      <c r="B7" s="23" t="s">
        <v>197</v>
      </c>
    </row>
    <row r="8" spans="1:2" x14ac:dyDescent="0.25">
      <c r="A8" s="43" t="s">
        <v>203</v>
      </c>
      <c r="B8" s="30" t="str">
        <f>_xll.qlBondSinkingSchedule(B4,B5,B6,B7)</f>
        <v>欣[test_bonds.xlsx]BondSinkingSchedule_Notionals!R8C2Schedule,A</v>
      </c>
    </row>
    <row r="10" spans="1:2" x14ac:dyDescent="0.25">
      <c r="A10" s="44" t="s">
        <v>201</v>
      </c>
      <c r="B10" s="20" t="s">
        <v>202</v>
      </c>
    </row>
    <row r="11" spans="1:2" x14ac:dyDescent="0.25">
      <c r="A11" s="27" t="s">
        <v>188</v>
      </c>
      <c r="B11" s="23" t="s">
        <v>169</v>
      </c>
    </row>
    <row r="12" spans="1:2" x14ac:dyDescent="0.25">
      <c r="A12" s="27" t="s">
        <v>204</v>
      </c>
      <c r="B12" s="23">
        <v>0.05</v>
      </c>
    </row>
    <row r="13" spans="1:2" x14ac:dyDescent="0.25">
      <c r="A13" s="27" t="s">
        <v>205</v>
      </c>
      <c r="B13" s="23">
        <v>1000000</v>
      </c>
    </row>
    <row r="14" spans="1:2" x14ac:dyDescent="0.25">
      <c r="A14" s="93" t="s">
        <v>206</v>
      </c>
      <c r="B14" s="23">
        <f>_xll.qlBondSinkingNotionals(B10,B11,B12,B13)</f>
        <v>1000000</v>
      </c>
    </row>
    <row r="15" spans="1:2" x14ac:dyDescent="0.25">
      <c r="A15" s="43" t="s">
        <v>206</v>
      </c>
      <c r="B15" s="99" t="s">
        <v>207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3113-FD1C-4D88-8D42-F7763B404E4F}">
  <dimension ref="A1:E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3.5703125" customWidth="1"/>
    <col min="2" max="3" width="55.5703125" style="2" bestFit="1" customWidth="1"/>
    <col min="5" max="5" width="35.140625" customWidth="1"/>
  </cols>
  <sheetData>
    <row r="1" spans="1:5" x14ac:dyDescent="0.25">
      <c r="A1" t="s">
        <v>12</v>
      </c>
      <c r="B1" s="1">
        <v>45659</v>
      </c>
      <c r="E1" s="3"/>
    </row>
    <row r="2" spans="1:5" x14ac:dyDescent="0.25">
      <c r="A2" t="s">
        <v>13</v>
      </c>
      <c r="B2" s="1">
        <f>_xll.qlSettingsSetEvaluationDate(B1)</f>
        <v>45659</v>
      </c>
    </row>
    <row r="3" spans="1:5" x14ac:dyDescent="0.25">
      <c r="B3" s="1"/>
    </row>
    <row r="4" spans="1:5" x14ac:dyDescent="0.25">
      <c r="A4" s="31" t="s">
        <v>42</v>
      </c>
      <c r="B4" s="100" t="s">
        <v>43</v>
      </c>
      <c r="C4" s="101"/>
    </row>
    <row r="5" spans="1:5" x14ac:dyDescent="0.25">
      <c r="A5" s="21" t="s">
        <v>44</v>
      </c>
      <c r="B5" s="34">
        <v>45665</v>
      </c>
      <c r="C5" s="37"/>
    </row>
    <row r="6" spans="1:5" x14ac:dyDescent="0.25">
      <c r="A6" s="21" t="s">
        <v>45</v>
      </c>
      <c r="B6" s="34">
        <f>_xll.qlCalendarAdvance(B4,B5,"10y","following")</f>
        <v>49317</v>
      </c>
      <c r="C6" s="37"/>
    </row>
    <row r="7" spans="1:5" x14ac:dyDescent="0.25">
      <c r="A7" s="21" t="s">
        <v>46</v>
      </c>
      <c r="B7" s="36" t="s">
        <v>52</v>
      </c>
      <c r="C7" s="37"/>
    </row>
    <row r="8" spans="1:5" x14ac:dyDescent="0.25">
      <c r="A8" s="21" t="s">
        <v>47</v>
      </c>
      <c r="B8" s="36" t="s">
        <v>53</v>
      </c>
      <c r="C8" s="37"/>
    </row>
    <row r="9" spans="1:5" x14ac:dyDescent="0.25">
      <c r="A9" s="21" t="s">
        <v>48</v>
      </c>
      <c r="B9" s="36" t="s">
        <v>148</v>
      </c>
      <c r="C9" s="37"/>
    </row>
    <row r="10" spans="1:5" x14ac:dyDescent="0.25">
      <c r="A10" s="90" t="s">
        <v>49</v>
      </c>
      <c r="B10" s="102" t="str">
        <f>_xll.qlMakeSchedule(B5,B6, "12M","annual",B4,B8,B8,"Forward",0,,,,,B2)</f>
        <v>欣[test_bonds.xlsx]Bond!R10C2Schedule,A</v>
      </c>
      <c r="C10" s="103"/>
    </row>
    <row r="11" spans="1:5" x14ac:dyDescent="0.25">
      <c r="A11" s="31"/>
      <c r="B11" s="100">
        <v>103</v>
      </c>
      <c r="C11" s="101">
        <v>0.03</v>
      </c>
    </row>
    <row r="12" spans="1:5" x14ac:dyDescent="0.25">
      <c r="A12" s="21"/>
      <c r="B12" s="36">
        <v>103</v>
      </c>
      <c r="C12" s="37">
        <v>0.02</v>
      </c>
    </row>
    <row r="13" spans="1:5" x14ac:dyDescent="0.25">
      <c r="A13" s="21"/>
      <c r="B13" s="36">
        <v>103</v>
      </c>
      <c r="C13" s="37"/>
    </row>
    <row r="14" spans="1:5" x14ac:dyDescent="0.25">
      <c r="A14" s="21"/>
      <c r="B14" s="36">
        <v>103</v>
      </c>
      <c r="C14" s="37"/>
    </row>
    <row r="15" spans="1:5" x14ac:dyDescent="0.25">
      <c r="A15" s="21"/>
      <c r="B15" s="36">
        <v>102</v>
      </c>
      <c r="C15" s="37"/>
    </row>
    <row r="16" spans="1:5" x14ac:dyDescent="0.25">
      <c r="A16" s="21"/>
      <c r="B16" s="36">
        <v>102</v>
      </c>
      <c r="C16" s="37"/>
    </row>
    <row r="17" spans="1:3" x14ac:dyDescent="0.25">
      <c r="A17" s="21"/>
      <c r="B17" s="36">
        <v>102</v>
      </c>
      <c r="C17" s="37"/>
    </row>
    <row r="18" spans="1:3" x14ac:dyDescent="0.25">
      <c r="A18" s="90"/>
      <c r="B18" s="102">
        <v>102</v>
      </c>
      <c r="C18" s="103"/>
    </row>
    <row r="19" spans="1:3" x14ac:dyDescent="0.25">
      <c r="A19" s="18" t="s">
        <v>14</v>
      </c>
      <c r="B19" s="19">
        <v>2</v>
      </c>
      <c r="C19" s="20">
        <v>2</v>
      </c>
    </row>
    <row r="20" spans="1:3" x14ac:dyDescent="0.25">
      <c r="A20" s="24" t="s">
        <v>18</v>
      </c>
      <c r="B20" s="22" t="str">
        <f>_xll.qlCalendar("TARGET")</f>
        <v>TARGET</v>
      </c>
      <c r="C20" s="23" t="str">
        <f>_xll.qlCalendar("TARGET")</f>
        <v>TARGET</v>
      </c>
    </row>
    <row r="21" spans="1:3" x14ac:dyDescent="0.25">
      <c r="A21" s="24" t="s">
        <v>15</v>
      </c>
      <c r="B21" s="22">
        <v>100</v>
      </c>
      <c r="C21" s="23">
        <v>100</v>
      </c>
    </row>
    <row r="22" spans="1:3" x14ac:dyDescent="0.25">
      <c r="A22" s="24" t="s">
        <v>16</v>
      </c>
      <c r="B22" s="41">
        <v>46395</v>
      </c>
      <c r="C22" s="42">
        <v>45677</v>
      </c>
    </row>
    <row r="23" spans="1:3" x14ac:dyDescent="0.25">
      <c r="A23" s="24" t="s">
        <v>50</v>
      </c>
      <c r="B23" s="22" t="str">
        <f>_xll.qlFixedRateLeg(B10,B9,B11:B18,C11:C12,,,,,,,,,,,,B10)</f>
        <v>欣[test_bonds.xlsx]Bond!R23C2CashFlow,A</v>
      </c>
      <c r="C23" s="22" t="str">
        <f>_xll.qlFixedRateLeg(B10,B9,B11:B18,C11:C12,,,,,,,,,,,,B10)</f>
        <v>欣[test_bonds.xlsx]Bond!R23C3CashFlow,A</v>
      </c>
    </row>
    <row r="24" spans="1:3" x14ac:dyDescent="0.25">
      <c r="A24" s="24" t="s">
        <v>17</v>
      </c>
      <c r="B24" s="22"/>
      <c r="C24" s="42">
        <v>45663</v>
      </c>
    </row>
    <row r="25" spans="1:3" x14ac:dyDescent="0.25">
      <c r="A25" s="43" t="s">
        <v>19</v>
      </c>
      <c r="B25" s="29" t="str">
        <f>_xll.qlBond(B19,B20,B21,B22,B23)</f>
        <v>欣[test_bonds.xlsx]Bond!R25C2Bond,A</v>
      </c>
      <c r="C25" s="30" t="str">
        <f>_xll.qlBond(C19,C20,C21,C22,C23,C24,C23)</f>
        <v>欣[test_bonds.xlsx]Bond!R25C3Bond,A</v>
      </c>
    </row>
    <row r="26" spans="1:3" x14ac:dyDescent="0.25">
      <c r="A26" s="92" t="s">
        <v>20</v>
      </c>
      <c r="B26" s="19">
        <f>_xll.qlBondNextCouponRate(B25,,B25)</f>
        <v>0.03</v>
      </c>
      <c r="C26" s="20">
        <f>_xll.qlBondNextCouponRate(C25,,C25)</f>
        <v>0.03</v>
      </c>
    </row>
    <row r="27" spans="1:3" x14ac:dyDescent="0.25">
      <c r="A27" s="69" t="s">
        <v>21</v>
      </c>
      <c r="B27" s="67">
        <f>_xll.qlBondPreviousCouponRate(B25,,B25)</f>
        <v>0</v>
      </c>
      <c r="C27" s="68">
        <f>_xll.qlBondPreviousCouponRate(C25,,C25)</f>
        <v>0</v>
      </c>
    </row>
    <row r="28" spans="1:3" x14ac:dyDescent="0.25">
      <c r="A28" s="26" t="s">
        <v>22</v>
      </c>
      <c r="B28" s="41">
        <f>_xll.qlBondNextCashFlowDate(B25,,B25)</f>
        <v>46030</v>
      </c>
      <c r="C28" s="42">
        <f>_xll.qlBondNextCashFlowDate(C25,,C25)</f>
        <v>46030</v>
      </c>
    </row>
    <row r="29" spans="1:3" x14ac:dyDescent="0.25">
      <c r="A29" s="69" t="s">
        <v>23</v>
      </c>
      <c r="B29" s="94">
        <f>_xll.qlBondPreviousCashFlowDate(B25,,B25)</f>
        <v>0</v>
      </c>
      <c r="C29" s="87">
        <f>_xll.qlBondPreviousCashFlowDate(C25,,C25)</f>
        <v>0</v>
      </c>
    </row>
    <row r="30" spans="1:3" x14ac:dyDescent="0.25">
      <c r="A30" s="93" t="s">
        <v>24</v>
      </c>
      <c r="B30" s="22">
        <f>_xll.qlBondSettlementDays(B25,B25)</f>
        <v>2</v>
      </c>
      <c r="C30" s="23">
        <f>_xll.qlBondSettlementDays(C25,C25)</f>
        <v>2</v>
      </c>
    </row>
    <row r="31" spans="1:3" x14ac:dyDescent="0.25">
      <c r="A31" s="69" t="s">
        <v>25</v>
      </c>
      <c r="B31" s="94">
        <f>_xll.qlBondSettlementDate(B25,,B25)</f>
        <v>45663</v>
      </c>
      <c r="C31" s="87">
        <f>_xll.qlBondSettlementDate(C25,,C25)</f>
        <v>45663</v>
      </c>
    </row>
    <row r="32" spans="1:3" x14ac:dyDescent="0.25">
      <c r="A32" s="26" t="s">
        <v>26</v>
      </c>
      <c r="B32" s="22" t="b">
        <f>_xll.qlBondIsTradable(B25,,B25)</f>
        <v>1</v>
      </c>
      <c r="C32" s="23" t="b">
        <f>_xll.qlBondIsTradable(C25,,C25)</f>
        <v>1</v>
      </c>
    </row>
    <row r="33" spans="1:3" x14ac:dyDescent="0.25">
      <c r="A33" s="69" t="s">
        <v>27</v>
      </c>
      <c r="B33" s="94">
        <f>_xll.qlBondStartDate(B25,B25)</f>
        <v>45665</v>
      </c>
      <c r="C33" s="87">
        <f>_xll.qlBondStartDate(C25,C25)</f>
        <v>45665</v>
      </c>
    </row>
    <row r="34" spans="1:3" x14ac:dyDescent="0.25">
      <c r="A34" s="93" t="s">
        <v>28</v>
      </c>
      <c r="B34" s="41">
        <f>_xll.qlBondMaturityDate(B25,B25)</f>
        <v>46395</v>
      </c>
      <c r="C34" s="42">
        <f>_xll.qlBondMaturityDate(C25,C25)</f>
        <v>45677</v>
      </c>
    </row>
    <row r="35" spans="1:3" x14ac:dyDescent="0.25">
      <c r="A35" s="69" t="s">
        <v>29</v>
      </c>
      <c r="B35" s="67">
        <f>_xll.qlBondIssueDate(B25,B25)</f>
        <v>0</v>
      </c>
      <c r="C35" s="87">
        <f>_xll.qlBondIssueDate(C25,C25)</f>
        <v>45663</v>
      </c>
    </row>
    <row r="36" spans="1:3" x14ac:dyDescent="0.25">
      <c r="A36" s="26" t="s">
        <v>30</v>
      </c>
      <c r="B36" s="22" t="str">
        <f>_xll.qlBondCashFlows(B25,B25)</f>
        <v>欣[test_bonds.xlsx]Bond!R36C2CashFlow,A</v>
      </c>
      <c r="C36" s="23" t="str">
        <f>_xll.qlBondCashFlows(C25,C25)</f>
        <v>欣[test_bonds.xlsx]Bond!R36C3CashFlow,A</v>
      </c>
    </row>
    <row r="37" spans="1:3" x14ac:dyDescent="0.25">
      <c r="A37" s="69" t="s">
        <v>57</v>
      </c>
      <c r="B37" s="67" t="str">
        <f>_xll.qlBondRedemption(B25,B25)</f>
        <v>欣[test_bonds.xlsx]Bond!R37C2CashFlow,A</v>
      </c>
      <c r="C37" s="68" t="str">
        <f>_xll.qlBondRedemption(C25,C25)</f>
        <v>欣[test_bonds.xlsx]Bond!R37C3CashFlow,A</v>
      </c>
    </row>
    <row r="38" spans="1:3" x14ac:dyDescent="0.25">
      <c r="A38" s="93" t="s">
        <v>58</v>
      </c>
      <c r="B38" s="22" t="str">
        <f>_xll.qlBondRedemptions(B25,B25)</f>
        <v>欣[test_bonds.xlsx]Bond!R38C2CashFlow,A</v>
      </c>
      <c r="C38" s="23" t="str">
        <f>_xll.qlBondRedemptions(C25,C25)</f>
        <v>欣[test_bonds.xlsx]Bond!R38C3CashFlow,A</v>
      </c>
    </row>
    <row r="39" spans="1:3" x14ac:dyDescent="0.25">
      <c r="A39" s="69" t="s">
        <v>31</v>
      </c>
      <c r="B39" s="67" t="str">
        <f>_xll.qlBondCalendar(B25,B25)</f>
        <v>TARGET</v>
      </c>
      <c r="C39" s="68" t="str">
        <f>_xll.qlBondCalendar(C25,C25)</f>
        <v>TARGET</v>
      </c>
    </row>
    <row r="40" spans="1:3" x14ac:dyDescent="0.25">
      <c r="A40" s="26" t="s">
        <v>32</v>
      </c>
      <c r="B40" s="22">
        <f>_xll.qlBondNotional(B25)</f>
        <v>100</v>
      </c>
      <c r="C40" s="23">
        <f>_xll.qlBondNotional(C25)</f>
        <v>100</v>
      </c>
    </row>
    <row r="41" spans="1:3" x14ac:dyDescent="0.25">
      <c r="A41" s="50" t="s">
        <v>59</v>
      </c>
      <c r="B41" s="67">
        <f>_xll.qlBondNotionals(B25:B25)</f>
        <v>100</v>
      </c>
      <c r="C41" s="68">
        <f>_xll.qlBondNotionals(C25:C25)</f>
        <v>100</v>
      </c>
    </row>
    <row r="42" spans="1:3" x14ac:dyDescent="0.25">
      <c r="A42" s="45" t="s">
        <v>55</v>
      </c>
      <c r="B42" s="19" t="str">
        <f>_xll.qlFlatForward($B$1,0.03,"actual360","compounded","Annual",B25)</f>
        <v>欣[test_bonds.xlsx]Bond!R42C2YieldTermStructureHandle,A</v>
      </c>
      <c r="C42" s="19" t="str">
        <f>_xll.qlFlatForward($B$1,0.03,"actual360","compounded","Annual",C25)</f>
        <v>欣[test_bonds.xlsx]Bond!R42C3YieldTermStructureHandle,A</v>
      </c>
    </row>
    <row r="43" spans="1:3" x14ac:dyDescent="0.25">
      <c r="A43" s="26" t="s">
        <v>150</v>
      </c>
      <c r="B43" s="22" t="str">
        <f>_xll.qlDiscountingBondEngine(B42,B42)</f>
        <v>欣[test_bonds.xlsx]Bond!R43C2DiscountingBondEngine,A</v>
      </c>
      <c r="C43" s="23" t="str">
        <f>_xll.qlDiscountingBondEngine(C42,C42)</f>
        <v>欣[test_bonds.xlsx]Bond!R43C3DiscountingBondEngine,A</v>
      </c>
    </row>
    <row r="44" spans="1:3" x14ac:dyDescent="0.25">
      <c r="A44" s="25" t="s">
        <v>151</v>
      </c>
      <c r="B44" s="22" t="b">
        <f>_xll.qlInstrumentSetPricingEngine(B25,B43,B43)</f>
        <v>1</v>
      </c>
      <c r="C44" s="23" t="b">
        <f>_xll.qlInstrumentSetPricingEngine(C25,C43,C43)</f>
        <v>1</v>
      </c>
    </row>
    <row r="45" spans="1:3" x14ac:dyDescent="0.25">
      <c r="A45" s="28" t="s">
        <v>33</v>
      </c>
      <c r="B45" s="48">
        <f>_xll.qlBondCleanPrice(B25,B44)</f>
        <v>2.9982762319550749</v>
      </c>
      <c r="C45" s="49">
        <f>_xll.qlBondCleanPrice(C25,C44)</f>
        <v>2.9982762319550749</v>
      </c>
    </row>
    <row r="46" spans="1:3" x14ac:dyDescent="0.25">
      <c r="A46" s="45" t="s">
        <v>56</v>
      </c>
      <c r="B46" s="46">
        <v>2.9558800538580478E-2</v>
      </c>
      <c r="C46" s="47">
        <v>2.9558800538580478E-2</v>
      </c>
    </row>
    <row r="47" spans="1:3" x14ac:dyDescent="0.25">
      <c r="A47" s="28" t="s">
        <v>34</v>
      </c>
      <c r="B47" s="48">
        <f>_xll.qlBondCleanPrice2(B25,B46,"actual360","continuous",,,B44)</f>
        <v>2.9982762371603138</v>
      </c>
      <c r="C47" s="49">
        <f>_xll.qlBondCleanPrice2(C25,C46,"actual360","continuous",,,C44)</f>
        <v>2.9982762371603138</v>
      </c>
    </row>
    <row r="48" spans="1:3" x14ac:dyDescent="0.25">
      <c r="A48" s="26" t="s">
        <v>35</v>
      </c>
      <c r="B48" s="61">
        <f>_xll.qlBondDirtyPrice(B25,B44)</f>
        <v>2.9982762319550749</v>
      </c>
      <c r="C48" s="62">
        <f>_xll.qlBondDirtyPrice(C25,C44)</f>
        <v>2.9982762319550749</v>
      </c>
    </row>
    <row r="49" spans="1:3" x14ac:dyDescent="0.25">
      <c r="A49" s="50" t="s">
        <v>36</v>
      </c>
      <c r="B49" s="51">
        <f>_xll.qlBondDirtyPrice2(B25,B46,"actual360","CONTINUOUS","annual",,B44)</f>
        <v>2.9982762371603138</v>
      </c>
      <c r="C49" s="52">
        <f>_xll.qlBondDirtyPrice2(C25,C46,"actual360","CONTINUOUS","annual",,C44)</f>
        <v>2.9982762371603138</v>
      </c>
    </row>
    <row r="50" spans="1:3" x14ac:dyDescent="0.25">
      <c r="A50" s="26" t="s">
        <v>37</v>
      </c>
      <c r="B50" s="61">
        <f>_xll.qlBondYield(B25,"actual360","CONTINUOUS","annual",,,B44)</f>
        <v>2.9558802241544502E-2</v>
      </c>
      <c r="C50" s="62">
        <f>_xll.qlBondYield(C25,"actual360","CONTINUOUS","annual",,,C44)</f>
        <v>2.9558802241544502E-2</v>
      </c>
    </row>
    <row r="51" spans="1:3" x14ac:dyDescent="0.25">
      <c r="A51" s="45" t="s">
        <v>120</v>
      </c>
      <c r="B51" s="46" t="str">
        <f>_xll.qlBondPrice(B45,"clean",B45)</f>
        <v>欣[test_bonds.xlsx]Bond!R51C2BondPrice,A</v>
      </c>
      <c r="C51" s="47" t="str">
        <f>_xll.qlBondPrice(C45,"clean",C45)</f>
        <v>欣[test_bonds.xlsx]Bond!R51C3BondPrice,A</v>
      </c>
    </row>
    <row r="52" spans="1:3" x14ac:dyDescent="0.25">
      <c r="A52" s="28" t="s">
        <v>38</v>
      </c>
      <c r="B52" s="48">
        <f>_xll.qlBondYield2(B25,B51,"actual360","CONTINUOUS","annual",,,,,B51)</f>
        <v>2.9558802241544502E-2</v>
      </c>
      <c r="C52" s="49">
        <f>_xll.qlBondYield2(C25,C51,"actual360","CONTINUOUS","annual",,,,,C51)</f>
        <v>2.9558802241544502E-2</v>
      </c>
    </row>
    <row r="53" spans="1:3" x14ac:dyDescent="0.25">
      <c r="A53" s="45" t="s">
        <v>54</v>
      </c>
      <c r="B53" s="39">
        <v>45667</v>
      </c>
      <c r="C53" s="40">
        <v>45667</v>
      </c>
    </row>
    <row r="54" spans="1:3" x14ac:dyDescent="0.25">
      <c r="A54" s="28" t="s">
        <v>39</v>
      </c>
      <c r="B54" s="48">
        <f>_xll.qlBondAccruedAmount(B25,B53,B44)</f>
        <v>1.7166666666664776E-2</v>
      </c>
      <c r="C54" s="49">
        <f>_xll.qlBondAccruedAmount(C25,C53,C44)</f>
        <v>1.7166666666664776E-2</v>
      </c>
    </row>
    <row r="55" spans="1:3" x14ac:dyDescent="0.25">
      <c r="A55" s="26" t="s">
        <v>40</v>
      </c>
      <c r="B55" s="61">
        <f>_xll.qlBondSettlementValue(B25,B44)</f>
        <v>2.9982762319550749</v>
      </c>
      <c r="C55" s="62">
        <f>_xll.qlBondSettlementValue(C25,C44)</f>
        <v>2.9982762319550749</v>
      </c>
    </row>
    <row r="56" spans="1:3" x14ac:dyDescent="0.25">
      <c r="A56" s="50" t="s">
        <v>41</v>
      </c>
      <c r="B56" s="51">
        <f>_xll.qlBondSettlementValue2(B25,B45)</f>
        <v>2.9982762319550749</v>
      </c>
      <c r="C56" s="52">
        <f>_xll.qlBondSettlementValue2(C25,C45)</f>
        <v>2.9982762319550749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DDB4-6035-4089-86B1-6246F3228CBC}">
  <dimension ref="A1:G4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8" sqref="B38"/>
    </sheetView>
  </sheetViews>
  <sheetFormatPr baseColWidth="10" defaultColWidth="11.5703125" defaultRowHeight="15" x14ac:dyDescent="0.25"/>
  <cols>
    <col min="1" max="1" width="42.85546875" customWidth="1"/>
    <col min="2" max="3" width="66.7109375" style="2" bestFit="1" customWidth="1"/>
    <col min="4" max="7" width="11.42578125" style="2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60</v>
      </c>
      <c r="B5" s="22" t="str">
        <f>_xll.qlCalendar("Target")</f>
        <v>TARGET</v>
      </c>
      <c r="C5" s="23" t="str">
        <f>_xll.qlCalendar("Target")</f>
        <v>TARGET</v>
      </c>
    </row>
    <row r="6" spans="1:3" x14ac:dyDescent="0.25">
      <c r="A6" s="24" t="s">
        <v>15</v>
      </c>
      <c r="B6" s="22">
        <v>100</v>
      </c>
      <c r="C6" s="23">
        <v>100</v>
      </c>
    </row>
    <row r="7" spans="1:3" x14ac:dyDescent="0.25">
      <c r="A7" s="24" t="s">
        <v>16</v>
      </c>
      <c r="B7" s="41">
        <v>49682</v>
      </c>
      <c r="C7" s="42">
        <v>49682</v>
      </c>
    </row>
    <row r="8" spans="1:3" x14ac:dyDescent="0.25">
      <c r="A8" s="24" t="s">
        <v>61</v>
      </c>
      <c r="B8" s="22"/>
      <c r="C8" s="23" t="s">
        <v>64</v>
      </c>
    </row>
    <row r="9" spans="1:3" x14ac:dyDescent="0.25">
      <c r="A9" s="24" t="s">
        <v>63</v>
      </c>
      <c r="B9" s="22"/>
      <c r="C9" s="23">
        <v>120</v>
      </c>
    </row>
    <row r="10" spans="1:3" x14ac:dyDescent="0.25">
      <c r="A10" s="24" t="s">
        <v>17</v>
      </c>
      <c r="B10" s="22"/>
      <c r="C10" s="42">
        <v>45667</v>
      </c>
    </row>
    <row r="11" spans="1:3" x14ac:dyDescent="0.25">
      <c r="A11" s="43" t="s">
        <v>62</v>
      </c>
      <c r="B11" s="29" t="str">
        <f>_xll.qlZeroCouponBond(B4,B5,B6,B7,,,,B2)</f>
        <v>欣[test_bonds.xlsx]ZeroCouponBond!R11C2ZeroCouponBond,A</v>
      </c>
      <c r="C11" s="30" t="str">
        <f>_xll.qlZeroCouponBond(C4,C5,C6,C7,C8,C9,C10,B2)</f>
        <v>欣[test_bonds.xlsx]ZeroCouponBond!R11C3ZeroCouponBond,A</v>
      </c>
    </row>
    <row r="12" spans="1:3" x14ac:dyDescent="0.25">
      <c r="A12" s="92" t="s">
        <v>20</v>
      </c>
      <c r="B12" s="19">
        <f>FIND("RuntimeError: RuntimeError: no coupon paid at cashflow date January 8th, 2036",_xll.qlBondNextCouponRate(B11))</f>
        <v>1</v>
      </c>
      <c r="C12" s="20">
        <f>FIND("RuntimeError: RuntimeError: no coupon paid at cashflow date January 8th, 2036",_xll.qlBondNextCouponRate(C11))</f>
        <v>1</v>
      </c>
    </row>
    <row r="13" spans="1:3" x14ac:dyDescent="0.25">
      <c r="A13" s="69" t="s">
        <v>21</v>
      </c>
      <c r="B13" s="67">
        <f>_xll.qlBondPreviousCouponRate(B11,,B11)</f>
        <v>0</v>
      </c>
      <c r="C13" s="68">
        <f>_xll.qlBondPreviousCouponRate(C11)</f>
        <v>0</v>
      </c>
    </row>
    <row r="14" spans="1:3" x14ac:dyDescent="0.25">
      <c r="A14" s="26" t="s">
        <v>22</v>
      </c>
      <c r="B14" s="41">
        <f>_xll.qlBondNextCashFlowDate(B11,,B11)</f>
        <v>49682</v>
      </c>
      <c r="C14" s="42">
        <f>_xll.qlBondNextCashFlowDate(C11)</f>
        <v>49682</v>
      </c>
    </row>
    <row r="15" spans="1:3" x14ac:dyDescent="0.25">
      <c r="A15" s="69" t="s">
        <v>23</v>
      </c>
      <c r="B15" s="94">
        <f>_xll.qlBondPreviousCashFlowDate(B11,,B11)</f>
        <v>0</v>
      </c>
      <c r="C15" s="87">
        <f>_xll.qlBondPreviousCashFlowDate(C11)</f>
        <v>0</v>
      </c>
    </row>
    <row r="16" spans="1:3" x14ac:dyDescent="0.25">
      <c r="A16" s="93" t="s">
        <v>24</v>
      </c>
      <c r="B16" s="22">
        <f>_xll.qlBondSettlementDays(B11,B11)</f>
        <v>2</v>
      </c>
      <c r="C16" s="23">
        <f>_xll.qlBondSettlementDays(C11)</f>
        <v>2</v>
      </c>
    </row>
    <row r="17" spans="1:3" x14ac:dyDescent="0.25">
      <c r="A17" s="69" t="s">
        <v>25</v>
      </c>
      <c r="B17" s="94">
        <f>_xll.qlBondSettlementDate(B11,,B11)</f>
        <v>45663</v>
      </c>
      <c r="C17" s="87">
        <f>_xll.qlBondSettlementDate(C11)</f>
        <v>45667</v>
      </c>
    </row>
    <row r="18" spans="1:3" x14ac:dyDescent="0.25">
      <c r="A18" s="26" t="s">
        <v>26</v>
      </c>
      <c r="B18" s="22" t="b">
        <f>_xll.qlBondIsTradable(B11,,B11)</f>
        <v>1</v>
      </c>
      <c r="C18" s="23" t="b">
        <f>_xll.qlBondIsTradable(C11)</f>
        <v>1</v>
      </c>
    </row>
    <row r="19" spans="1:3" x14ac:dyDescent="0.25">
      <c r="A19" s="69" t="s">
        <v>27</v>
      </c>
      <c r="B19" s="94">
        <f>_xll.qlBondStartDate(B11,B11)</f>
        <v>49682</v>
      </c>
      <c r="C19" s="87">
        <f>_xll.qlBondStartDate(C11)</f>
        <v>49682</v>
      </c>
    </row>
    <row r="20" spans="1:3" x14ac:dyDescent="0.25">
      <c r="A20" s="93" t="s">
        <v>28</v>
      </c>
      <c r="B20" s="41">
        <f>_xll.qlBondMaturityDate(B11,B11)</f>
        <v>49682</v>
      </c>
      <c r="C20" s="42">
        <f>_xll.qlBondMaturityDate(C11)</f>
        <v>49682</v>
      </c>
    </row>
    <row r="21" spans="1:3" x14ac:dyDescent="0.25">
      <c r="A21" s="69" t="s">
        <v>29</v>
      </c>
      <c r="B21" s="67">
        <f>_xll.qlBondIssueDate(B11,B11)</f>
        <v>0</v>
      </c>
      <c r="C21" s="87">
        <f>_xll.qlBondIssueDate(C11)</f>
        <v>45667</v>
      </c>
    </row>
    <row r="22" spans="1:3" x14ac:dyDescent="0.25">
      <c r="A22" s="26" t="s">
        <v>30</v>
      </c>
      <c r="B22" s="22" t="str">
        <f>_xll.qlBondCashFlows(B11,B11)</f>
        <v>欣[test_bonds.xlsx]ZeroCouponBond!R22C2CashFlow,A</v>
      </c>
      <c r="C22" s="23" t="str">
        <f>_xll.qlBondCashFlows(C11)</f>
        <v>欣[test_bonds.xlsx]ZeroCouponBond!R22C3CashFlow,A</v>
      </c>
    </row>
    <row r="23" spans="1:3" x14ac:dyDescent="0.25">
      <c r="A23" s="69" t="s">
        <v>57</v>
      </c>
      <c r="B23" s="67" t="str">
        <f>_xll.qlBondRedemption(B11,B11)</f>
        <v>欣[test_bonds.xlsx]ZeroCouponBond!R23C2CashFlow,A</v>
      </c>
      <c r="C23" s="68" t="str">
        <f>_xll.qlBondRedemption(C11)</f>
        <v>欣[test_bonds.xlsx]ZeroCouponBond!R23C3CashFlow,A</v>
      </c>
    </row>
    <row r="24" spans="1:3" x14ac:dyDescent="0.25">
      <c r="A24" s="93" t="s">
        <v>58</v>
      </c>
      <c r="B24" s="22" t="str">
        <f>_xll.qlBondRedemptions(B11,B11)</f>
        <v>欣[test_bonds.xlsx]ZeroCouponBond!R24C2CashFlow,A</v>
      </c>
      <c r="C24" s="23" t="str">
        <f>_xll.qlBondRedemptions(C11)</f>
        <v>欣[test_bonds.xlsx]ZeroCouponBond!R24C3CashFlow,A</v>
      </c>
    </row>
    <row r="25" spans="1:3" x14ac:dyDescent="0.25">
      <c r="A25" s="69" t="s">
        <v>31</v>
      </c>
      <c r="B25" s="67" t="str">
        <f>_xll.qlBondCalendar(B11,B11)</f>
        <v>TARGET</v>
      </c>
      <c r="C25" s="68" t="str">
        <f>_xll.qlBondCalendar(C11)</f>
        <v>TARGET</v>
      </c>
    </row>
    <row r="26" spans="1:3" x14ac:dyDescent="0.25">
      <c r="A26" s="26" t="s">
        <v>32</v>
      </c>
      <c r="B26" s="22">
        <f>_xll.qlBondNotional(B11)</f>
        <v>100</v>
      </c>
      <c r="C26" s="23">
        <f>_xll.qlBondNotional(C11)</f>
        <v>100</v>
      </c>
    </row>
    <row r="27" spans="1:3" x14ac:dyDescent="0.25">
      <c r="A27" s="50" t="s">
        <v>59</v>
      </c>
      <c r="B27" s="67">
        <f>_xll.qlBondNotionals(B11:B11)</f>
        <v>100</v>
      </c>
      <c r="C27" s="68">
        <f>_xll.qlBondNotionals(C11)</f>
        <v>100</v>
      </c>
    </row>
    <row r="28" spans="1:3" x14ac:dyDescent="0.25">
      <c r="A28" s="45" t="s">
        <v>55</v>
      </c>
      <c r="B28" s="19" t="str">
        <f>_xll.qlFlatForward($B$1,0.03,"actual360","compounded","Annual",B11)</f>
        <v>欣[test_bonds.xlsx]ZeroCouponBond!R28C2YieldTermStructureHandle,A</v>
      </c>
      <c r="C28" s="20" t="str">
        <f>_xll.qlFlatForward(B2,0.03,"actual360","compounded","Annual",B2)</f>
        <v>欣[test_bonds.xlsx]ZeroCouponBond!R28C3YieldTermStructureHandle,A</v>
      </c>
    </row>
    <row r="29" spans="1:3" x14ac:dyDescent="0.25">
      <c r="A29" s="28" t="s">
        <v>150</v>
      </c>
      <c r="B29" s="29" t="str">
        <f>_xll.qlDiscountingBondEngine(B28,B28)</f>
        <v>欣[test_bonds.xlsx]ZeroCouponBond!R29C2DiscountingBondEngine,A</v>
      </c>
      <c r="C29" s="30" t="str">
        <f>_xll.qlDiscountingBondEngine(C28)</f>
        <v>欣[test_bonds.xlsx]ZeroCouponBond!R29C3DiscountingBondEngine,A</v>
      </c>
    </row>
    <row r="30" spans="1:3" x14ac:dyDescent="0.25">
      <c r="A30" s="25" t="s">
        <v>151</v>
      </c>
      <c r="B30" s="22" t="b">
        <f>_xll.qlInstrumentSetPricingEngine(B11,B29,B29)</f>
        <v>1</v>
      </c>
      <c r="C30" s="23" t="b">
        <f>_xll.qlInstrumentSetPricingEngine(C11,C29)</f>
        <v>1</v>
      </c>
    </row>
    <row r="31" spans="1:3" x14ac:dyDescent="0.25">
      <c r="A31" s="28" t="s">
        <v>33</v>
      </c>
      <c r="B31" s="48">
        <f>_xll.qlBondCleanPrice(B11,B30)</f>
        <v>71.893007155387124</v>
      </c>
      <c r="C31" s="49">
        <f>_xll.qlBondCleanPrice(C11,C30)</f>
        <v>86.299947522318362</v>
      </c>
    </row>
    <row r="32" spans="1:3" x14ac:dyDescent="0.25">
      <c r="A32" s="45" t="s">
        <v>56</v>
      </c>
      <c r="B32" s="46">
        <v>2.9558800538580478E-2</v>
      </c>
      <c r="C32" s="47">
        <v>2.9558808088302614E-2</v>
      </c>
    </row>
    <row r="33" spans="1:3" x14ac:dyDescent="0.25">
      <c r="A33" s="28" t="s">
        <v>34</v>
      </c>
      <c r="B33" s="48">
        <f>_xll.qlBondCleanPrice2(B11,B32,"actual360","continuous",,,B30)</f>
        <v>71.893008522195444</v>
      </c>
      <c r="C33" s="49">
        <f>_xll.qlBondCleanPrice2(C11,C32,"actual360","continuous")</f>
        <v>86.299941894906539</v>
      </c>
    </row>
    <row r="34" spans="1:3" x14ac:dyDescent="0.25">
      <c r="A34" s="26" t="s">
        <v>35</v>
      </c>
      <c r="B34" s="61">
        <f>_xll.qlBondDirtyPrice(B11,B30)</f>
        <v>71.893007155387124</v>
      </c>
      <c r="C34" s="62">
        <f>_xll.qlBondDirtyPrice(C11,C30)</f>
        <v>86.299947522318362</v>
      </c>
    </row>
    <row r="35" spans="1:3" x14ac:dyDescent="0.25">
      <c r="A35" s="50" t="s">
        <v>36</v>
      </c>
      <c r="B35" s="51">
        <f>_xll.qlBondDirtyPrice2(B11,B32,"actual360","CONTINUOUS","annual",,B30)</f>
        <v>71.893008522195444</v>
      </c>
      <c r="C35" s="52">
        <f>_xll.qlBondDirtyPrice2(C11,C32,"actual360","CONTINUOUS","annual")</f>
        <v>86.299941894906539</v>
      </c>
    </row>
    <row r="36" spans="1:3" x14ac:dyDescent="0.25">
      <c r="A36" s="26" t="s">
        <v>37</v>
      </c>
      <c r="B36" s="61">
        <f>_xll.qlBondYield(B11,"actual360","CONTINUOUS","annual",,,B30)</f>
        <v>2.9558802241544429E-2</v>
      </c>
      <c r="C36" s="62">
        <f>_xll.qlBondYield(C11,"actual360","CONTINUOUS","annual",,,C30)</f>
        <v>2.9558802241544405E-2</v>
      </c>
    </row>
    <row r="37" spans="1:3" x14ac:dyDescent="0.25">
      <c r="A37" s="45" t="s">
        <v>120</v>
      </c>
      <c r="B37" s="46" t="str">
        <f>_xll.qlBondPrice(B31,"clean",B31)</f>
        <v>欣[test_bonds.xlsx]ZeroCouponBond!R37C2BondPrice,A</v>
      </c>
      <c r="C37" s="47" t="str">
        <f>_xll.qlBondPrice(C31,"clean")</f>
        <v>欣[test_bonds.xlsx]ZeroCouponBond!R37C3BondPrice,A</v>
      </c>
    </row>
    <row r="38" spans="1:3" x14ac:dyDescent="0.25">
      <c r="A38" s="28" t="s">
        <v>38</v>
      </c>
      <c r="B38" s="48">
        <f>_xll.qlBondYield2(B11,B37,"actual360","CONTINUOUS","annual",,,,,B37)</f>
        <v>2.9558802241544429E-2</v>
      </c>
      <c r="C38" s="49">
        <f>_xll.qlBondYield2(C11,C37,"actual360","CONTINUOUS","annual",,,,,C30)</f>
        <v>2.9558802241544405E-2</v>
      </c>
    </row>
    <row r="39" spans="1:3" x14ac:dyDescent="0.25">
      <c r="A39" s="45" t="s">
        <v>54</v>
      </c>
      <c r="B39" s="39">
        <v>45667</v>
      </c>
      <c r="C39" s="40">
        <v>45667</v>
      </c>
    </row>
    <row r="40" spans="1:3" x14ac:dyDescent="0.25">
      <c r="A40" s="28" t="s">
        <v>39</v>
      </c>
      <c r="B40" s="48">
        <f>_xll.qlBondAccruedAmount(B11,B39,B30)</f>
        <v>0</v>
      </c>
      <c r="C40" s="49">
        <f>_xll.qlBondAccruedAmount(C11,C39)</f>
        <v>0</v>
      </c>
    </row>
    <row r="41" spans="1:3" x14ac:dyDescent="0.25">
      <c r="A41" s="26" t="s">
        <v>40</v>
      </c>
      <c r="B41" s="61">
        <f>_xll.qlBondSettlementValue(B11,B30)</f>
        <v>71.893007155387124</v>
      </c>
      <c r="C41" s="62">
        <f>_xll.qlBondSettlementValue(C11,C30)</f>
        <v>86.299947522318362</v>
      </c>
    </row>
    <row r="42" spans="1:3" x14ac:dyDescent="0.25">
      <c r="A42" s="50" t="s">
        <v>41</v>
      </c>
      <c r="B42" s="51">
        <f>_xll.qlBondSettlementValue2(B11,B31)</f>
        <v>71.893007155387124</v>
      </c>
      <c r="C42" s="52">
        <f>_xll.qlBondSettlementValue2(C11,C31)</f>
        <v>86.299947522318362</v>
      </c>
    </row>
    <row r="43" spans="1:3" x14ac:dyDescent="0.25">
      <c r="A43" s="45" t="s">
        <v>153</v>
      </c>
      <c r="B43" s="46" t="str">
        <f>_xll.qlFlatForward($B$1,0.03,"actual365fixed",,,B11)</f>
        <v>欣[test_bonds.xlsx]ZeroCouponBond!R43C2YieldTermStructureHandle,A</v>
      </c>
      <c r="C43" s="47" t="str">
        <f>_xll.qlFlatForward($B$1,0.03,"actual365fixed",,,C11)</f>
        <v>欣[test_bonds.xlsx]ZeroCouponBond!R43C3YieldTermStructureHandle,A</v>
      </c>
    </row>
    <row r="44" spans="1:3" x14ac:dyDescent="0.25">
      <c r="A44" s="25" t="s">
        <v>162</v>
      </c>
      <c r="B44" s="61">
        <v>5.0000000000000001E-3</v>
      </c>
      <c r="C44" s="62">
        <v>5.0000000000000001E-3</v>
      </c>
    </row>
    <row r="45" spans="1:3" x14ac:dyDescent="0.25">
      <c r="A45" s="25" t="s">
        <v>164</v>
      </c>
      <c r="B45" s="61" t="s">
        <v>167</v>
      </c>
      <c r="C45" s="62" t="s">
        <v>167</v>
      </c>
    </row>
    <row r="46" spans="1:3" x14ac:dyDescent="0.25">
      <c r="A46" s="25" t="s">
        <v>163</v>
      </c>
      <c r="B46" s="61" t="s">
        <v>168</v>
      </c>
      <c r="C46" s="62" t="s">
        <v>168</v>
      </c>
    </row>
    <row r="47" spans="1:3" x14ac:dyDescent="0.25">
      <c r="A47" s="25" t="s">
        <v>165</v>
      </c>
      <c r="B47" s="61" t="s">
        <v>169</v>
      </c>
      <c r="C47" s="62" t="s">
        <v>169</v>
      </c>
    </row>
    <row r="48" spans="1:3" x14ac:dyDescent="0.25">
      <c r="A48" s="25" t="s">
        <v>166</v>
      </c>
      <c r="B48" s="61"/>
      <c r="C48" s="62"/>
    </row>
    <row r="49" spans="1:3" x14ac:dyDescent="0.25">
      <c r="A49" s="28" t="s">
        <v>161</v>
      </c>
      <c r="B49" s="29">
        <f>_xll.qlBondCleanPriceFromZSpread(B11,B43,B44,B45,B46,B47,,B43)</f>
        <v>68.138537120691339</v>
      </c>
      <c r="C49" s="30">
        <f>_xll.qlBondCleanPriceFromZSpread(C11,C43,C44,C45,C46,C47,,C43)</f>
        <v>81.797469972073358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77E5-949B-439C-BFA2-575F2A710E3C}">
  <dimension ref="A1:C6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3" customWidth="1"/>
    <col min="2" max="3" width="64.7109375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0</v>
      </c>
      <c r="C4" s="20">
        <v>0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x14ac:dyDescent="0.25">
      <c r="A6" s="31" t="s">
        <v>73</v>
      </c>
      <c r="B6" s="32">
        <v>45665</v>
      </c>
      <c r="C6" s="33">
        <v>45665</v>
      </c>
    </row>
    <row r="7" spans="1:3" x14ac:dyDescent="0.25">
      <c r="A7" s="21" t="s">
        <v>74</v>
      </c>
      <c r="B7" s="34">
        <v>49682</v>
      </c>
      <c r="C7" s="35">
        <v>49682</v>
      </c>
    </row>
    <row r="8" spans="1:3" x14ac:dyDescent="0.25">
      <c r="A8" s="21" t="s">
        <v>46</v>
      </c>
      <c r="B8" s="36" t="s">
        <v>52</v>
      </c>
      <c r="C8" s="37" t="s">
        <v>52</v>
      </c>
    </row>
    <row r="9" spans="1:3" x14ac:dyDescent="0.25">
      <c r="A9" s="21" t="s">
        <v>60</v>
      </c>
      <c r="B9" s="36" t="str">
        <f>_xll.qlCalendar("TARGET")</f>
        <v>TARGET</v>
      </c>
      <c r="C9" s="37" t="str">
        <f>_xll.qlCalendar("TARGET")</f>
        <v>TARGET</v>
      </c>
    </row>
    <row r="10" spans="1:3" x14ac:dyDescent="0.25">
      <c r="A10" s="21" t="s">
        <v>47</v>
      </c>
      <c r="B10" s="36" t="s">
        <v>53</v>
      </c>
      <c r="C10" s="37" t="s">
        <v>53</v>
      </c>
    </row>
    <row r="11" spans="1:3" x14ac:dyDescent="0.25">
      <c r="A11" s="21" t="s">
        <v>75</v>
      </c>
      <c r="B11" s="36" t="s">
        <v>53</v>
      </c>
      <c r="C11" s="37" t="s">
        <v>53</v>
      </c>
    </row>
    <row r="12" spans="1:3" x14ac:dyDescent="0.25">
      <c r="A12" s="21" t="s">
        <v>77</v>
      </c>
      <c r="B12" s="36" t="s">
        <v>79</v>
      </c>
      <c r="C12" s="37" t="s">
        <v>79</v>
      </c>
    </row>
    <row r="13" spans="1:3" x14ac:dyDescent="0.25">
      <c r="A13" s="21" t="s">
        <v>78</v>
      </c>
      <c r="B13" s="36">
        <v>0</v>
      </c>
      <c r="C13" s="37">
        <v>0</v>
      </c>
    </row>
    <row r="14" spans="1:3" x14ac:dyDescent="0.25">
      <c r="A14" s="38" t="s">
        <v>65</v>
      </c>
      <c r="B14" s="29" t="str">
        <f>_xll.qlSchedule(B6,B7,B8,B9,B10,B11,B12,B13,,,B2)</f>
        <v>欣[test_bonds.xlsx]FixedRateBond!R14C2Schedule,A</v>
      </c>
      <c r="C14" s="30" t="str">
        <f>_xll.qlSchedule(C6,C7,C8,C9,C10,C11,C12,C13,,,C2)</f>
        <v>欣[test_bonds.xlsx]FixedRateBond!R14C3Schedule,A</v>
      </c>
    </row>
    <row r="15" spans="1:3" x14ac:dyDescent="0.25">
      <c r="A15" s="108" t="s">
        <v>66</v>
      </c>
      <c r="B15" s="19">
        <v>0.04</v>
      </c>
      <c r="C15" s="20">
        <v>0.04</v>
      </c>
    </row>
    <row r="16" spans="1:3" x14ac:dyDescent="0.25">
      <c r="A16" s="107"/>
      <c r="B16" s="22">
        <v>0.05</v>
      </c>
      <c r="C16" s="23">
        <v>0.05</v>
      </c>
    </row>
    <row r="17" spans="1:3" x14ac:dyDescent="0.25">
      <c r="A17" s="109"/>
      <c r="B17" s="29">
        <v>0.06</v>
      </c>
      <c r="C17" s="30">
        <v>0.06</v>
      </c>
    </row>
    <row r="18" spans="1:3" x14ac:dyDescent="0.25">
      <c r="A18" s="24" t="s">
        <v>67</v>
      </c>
      <c r="B18" s="22" t="s">
        <v>148</v>
      </c>
      <c r="C18" s="23" t="s">
        <v>148</v>
      </c>
    </row>
    <row r="19" spans="1:3" x14ac:dyDescent="0.25">
      <c r="A19" s="24" t="s">
        <v>61</v>
      </c>
      <c r="B19" s="22"/>
      <c r="C19" s="23" t="s">
        <v>81</v>
      </c>
    </row>
    <row r="20" spans="1:3" x14ac:dyDescent="0.25">
      <c r="A20" s="24" t="s">
        <v>63</v>
      </c>
      <c r="B20" s="22"/>
      <c r="C20" s="23">
        <v>100</v>
      </c>
    </row>
    <row r="21" spans="1:3" x14ac:dyDescent="0.25">
      <c r="A21" s="24" t="s">
        <v>17</v>
      </c>
      <c r="B21" s="22"/>
      <c r="C21" s="42">
        <v>45663</v>
      </c>
    </row>
    <row r="22" spans="1:3" x14ac:dyDescent="0.25">
      <c r="A22" s="24" t="s">
        <v>68</v>
      </c>
      <c r="B22" s="22"/>
      <c r="C22" s="23" t="str">
        <f>_xll.qlCalendar("TARGET")</f>
        <v>TARGET</v>
      </c>
    </row>
    <row r="23" spans="1:3" x14ac:dyDescent="0.25">
      <c r="A23" s="24" t="s">
        <v>69</v>
      </c>
      <c r="B23" s="22"/>
      <c r="C23" s="23" t="s">
        <v>76</v>
      </c>
    </row>
    <row r="24" spans="1:3" x14ac:dyDescent="0.25">
      <c r="A24" s="24" t="s">
        <v>70</v>
      </c>
      <c r="B24" s="22"/>
      <c r="C24" s="23" t="str">
        <f>_xll.qlCalendar("TARGET")</f>
        <v>TARGET</v>
      </c>
    </row>
    <row r="25" spans="1:3" x14ac:dyDescent="0.25">
      <c r="A25" s="24" t="s">
        <v>71</v>
      </c>
      <c r="B25" s="22"/>
      <c r="C25" s="23" t="s">
        <v>64</v>
      </c>
    </row>
    <row r="26" spans="1:3" x14ac:dyDescent="0.25">
      <c r="A26" s="24" t="s">
        <v>72</v>
      </c>
      <c r="B26" s="22"/>
      <c r="C26" s="23" t="b">
        <v>0</v>
      </c>
    </row>
    <row r="27" spans="1:3" x14ac:dyDescent="0.25">
      <c r="A27" s="43" t="s">
        <v>80</v>
      </c>
      <c r="B27" s="29" t="str">
        <f>_xll.qlFixedRateBond(B4,B5,B14,B15:B17,B18,,,,,,,,,B14)</f>
        <v>欣[test_bonds.xlsx]FixedRateBond!R27C2FixedRateBond,A</v>
      </c>
      <c r="C27" s="30" t="str">
        <f>_xll.qlFixedRateBond(C4,C5,C14,C15:C17,C18,C19,C20,C21,C22,C23,C24,C25,C26,C14)</f>
        <v>欣[test_bonds.xlsx]FixedRateBond!R27C3FixedRateBond,A</v>
      </c>
    </row>
    <row r="28" spans="1:3" x14ac:dyDescent="0.25">
      <c r="A28" s="92" t="s">
        <v>20</v>
      </c>
      <c r="B28" s="19">
        <f>_xll.qlBondNextCouponRate(B27,,B27)</f>
        <v>0.04</v>
      </c>
      <c r="C28" s="20">
        <f>_xll.qlBondNextCouponRate(C27,,C27)</f>
        <v>0.04</v>
      </c>
    </row>
    <row r="29" spans="1:3" x14ac:dyDescent="0.25">
      <c r="A29" s="69" t="s">
        <v>21</v>
      </c>
      <c r="B29" s="67">
        <f>_xll.qlBondPreviousCouponRate(B27,,B27)</f>
        <v>0</v>
      </c>
      <c r="C29" s="68">
        <f>_xll.qlBondPreviousCouponRate(C27,,C27)</f>
        <v>0</v>
      </c>
    </row>
    <row r="30" spans="1:3" x14ac:dyDescent="0.25">
      <c r="A30" s="26" t="s">
        <v>22</v>
      </c>
      <c r="B30" s="41">
        <f>_xll.qlBondNextCashFlowDate(B27,,B27)</f>
        <v>46030</v>
      </c>
      <c r="C30" s="42">
        <f>_xll.qlBondNextCashFlowDate(C27,,C27)</f>
        <v>46030</v>
      </c>
    </row>
    <row r="31" spans="1:3" x14ac:dyDescent="0.25">
      <c r="A31" s="69" t="s">
        <v>23</v>
      </c>
      <c r="B31" s="94">
        <f>_xll.qlBondPreviousCashFlowDate(B27,,B27)</f>
        <v>0</v>
      </c>
      <c r="C31" s="87">
        <f>_xll.qlBondPreviousCashFlowDate(C27,,C27)</f>
        <v>0</v>
      </c>
    </row>
    <row r="32" spans="1:3" x14ac:dyDescent="0.25">
      <c r="A32" s="93" t="s">
        <v>24</v>
      </c>
      <c r="B32" s="22">
        <f>_xll.qlBondSettlementDays(B27,B27)</f>
        <v>0</v>
      </c>
      <c r="C32" s="23">
        <f>_xll.qlBondSettlementDays(C27,C27)</f>
        <v>0</v>
      </c>
    </row>
    <row r="33" spans="1:3" x14ac:dyDescent="0.25">
      <c r="A33" s="69" t="s">
        <v>25</v>
      </c>
      <c r="B33" s="94">
        <f>_xll.qlBondSettlementDate(B27,,B27)</f>
        <v>45659</v>
      </c>
      <c r="C33" s="87">
        <f>_xll.qlBondSettlementDate(C27,,C27)</f>
        <v>45663</v>
      </c>
    </row>
    <row r="34" spans="1:3" x14ac:dyDescent="0.25">
      <c r="A34" s="26" t="s">
        <v>26</v>
      </c>
      <c r="B34" s="22" t="b">
        <f>_xll.qlBondIsTradable(B27,,B27)</f>
        <v>1</v>
      </c>
      <c r="C34" s="23" t="b">
        <f>_xll.qlBondIsTradable(C27,,C27)</f>
        <v>1</v>
      </c>
    </row>
    <row r="35" spans="1:3" x14ac:dyDescent="0.25">
      <c r="A35" s="69" t="s">
        <v>27</v>
      </c>
      <c r="B35" s="94">
        <f>_xll.qlBondStartDate(B27,B27)</f>
        <v>45665</v>
      </c>
      <c r="C35" s="87">
        <f>_xll.qlBondStartDate(C27,C27)</f>
        <v>45665</v>
      </c>
    </row>
    <row r="36" spans="1:3" x14ac:dyDescent="0.25">
      <c r="A36" s="93" t="s">
        <v>28</v>
      </c>
      <c r="B36" s="41">
        <f>_xll.qlBondMaturityDate(B27,B27)</f>
        <v>49682</v>
      </c>
      <c r="C36" s="42">
        <f>_xll.qlBondMaturityDate(C27,C27)</f>
        <v>49682</v>
      </c>
    </row>
    <row r="37" spans="1:3" x14ac:dyDescent="0.25">
      <c r="A37" s="69" t="s">
        <v>29</v>
      </c>
      <c r="B37" s="67">
        <f>_xll.qlBondIssueDate(B27,B27)</f>
        <v>0</v>
      </c>
      <c r="C37" s="68">
        <f>_xll.qlBondIssueDate(C27,C27)</f>
        <v>45663</v>
      </c>
    </row>
    <row r="38" spans="1:3" x14ac:dyDescent="0.25">
      <c r="A38" s="26" t="s">
        <v>30</v>
      </c>
      <c r="B38" s="22" t="str">
        <f>_xll.qlBondCashFlows(B27,B27)</f>
        <v>欣[test_bonds.xlsx]FixedRateBond!R38C2CashFlow,A</v>
      </c>
      <c r="C38" s="23" t="str">
        <f>_xll.qlBondCashFlows(C27,C27)</f>
        <v>欣[test_bonds.xlsx]FixedRateBond!R38C3CashFlow,A</v>
      </c>
    </row>
    <row r="39" spans="1:3" x14ac:dyDescent="0.25">
      <c r="A39" s="69" t="s">
        <v>57</v>
      </c>
      <c r="B39" s="67" t="str">
        <f>_xll.qlBondRedemption(B27,B27)</f>
        <v>欣[test_bonds.xlsx]FixedRateBond!R39C2CashFlow,A</v>
      </c>
      <c r="C39" s="68" t="str">
        <f>_xll.qlBondRedemption(C27,C27)</f>
        <v>欣[test_bonds.xlsx]FixedRateBond!R39C3CashFlow,A</v>
      </c>
    </row>
    <row r="40" spans="1:3" x14ac:dyDescent="0.25">
      <c r="A40" s="93" t="s">
        <v>58</v>
      </c>
      <c r="B40" s="22" t="str">
        <f>_xll.qlBondRedemptions(B27,B27)</f>
        <v>欣[test_bonds.xlsx]FixedRateBond!R40C2CashFlow,A</v>
      </c>
      <c r="C40" s="23" t="str">
        <f>_xll.qlBondRedemptions(C27,C27)</f>
        <v>欣[test_bonds.xlsx]FixedRateBond!R40C3CashFlow,A</v>
      </c>
    </row>
    <row r="41" spans="1:3" x14ac:dyDescent="0.25">
      <c r="A41" s="69" t="s">
        <v>31</v>
      </c>
      <c r="B41" s="67" t="str">
        <f>_xll.qlBondCalendar(B27,B27)</f>
        <v>TARGET</v>
      </c>
      <c r="C41" s="68" t="str">
        <f>_xll.qlBondCalendar(C27,C27)</f>
        <v>TARGET</v>
      </c>
    </row>
    <row r="42" spans="1:3" x14ac:dyDescent="0.25">
      <c r="A42" s="26" t="s">
        <v>32</v>
      </c>
      <c r="B42" s="22">
        <f>_xll.qlBondNotional(B27)</f>
        <v>100</v>
      </c>
      <c r="C42" s="23">
        <f>_xll.qlBondNotional(C27)</f>
        <v>100</v>
      </c>
    </row>
    <row r="43" spans="1:3" x14ac:dyDescent="0.25">
      <c r="A43" s="50" t="s">
        <v>59</v>
      </c>
      <c r="B43" s="67">
        <f>_xll.qlBondNotionals(B27:B27)</f>
        <v>100</v>
      </c>
      <c r="C43" s="68">
        <f>_xll.qlBondNotionals(C27:C27)</f>
        <v>100</v>
      </c>
    </row>
    <row r="44" spans="1:3" x14ac:dyDescent="0.25">
      <c r="A44" s="45" t="s">
        <v>55</v>
      </c>
      <c r="B44" s="19" t="str">
        <f>_xll.qlFlatForward($B$1,0.03,"actual360","compounded","Annual",B27)</f>
        <v>欣[test_bonds.xlsx]FixedRateBond!R44C2YieldTermStructureHandle,A</v>
      </c>
      <c r="C44" s="20" t="str">
        <f>_xll.qlFlatForward($B$1,0.03,"actual360","compounded","Annual",C27)</f>
        <v>欣[test_bonds.xlsx]FixedRateBond!R44C3YieldTermStructureHandle,A</v>
      </c>
    </row>
    <row r="45" spans="1:3" x14ac:dyDescent="0.25">
      <c r="A45" s="28" t="s">
        <v>150</v>
      </c>
      <c r="B45" s="22" t="str">
        <f>_xll.qlDiscountingBondEngine(B44,B44)</f>
        <v>欣[test_bonds.xlsx]FixedRateBond!R45C2DiscountingBondEngine,A</v>
      </c>
      <c r="C45" s="23" t="str">
        <f>_xll.qlDiscountingBondEngine(C44,C44)</f>
        <v>欣[test_bonds.xlsx]FixedRateBond!R45C3DiscountingBondEngine,A</v>
      </c>
    </row>
    <row r="46" spans="1:3" x14ac:dyDescent="0.25">
      <c r="A46" s="45" t="s">
        <v>151</v>
      </c>
      <c r="B46" s="22" t="b">
        <f>_xll.qlInstrumentSetPricingEngine(B27,B45,B45)</f>
        <v>1</v>
      </c>
      <c r="C46" s="23" t="b">
        <f>_xll.qlInstrumentSetPricingEngine(C27,C45,C45)</f>
        <v>1</v>
      </c>
    </row>
    <row r="47" spans="1:3" x14ac:dyDescent="0.25">
      <c r="A47" s="28" t="s">
        <v>33</v>
      </c>
      <c r="B47" s="48">
        <f>_xll.qlBondCleanPrice(B27,B46)</f>
        <v>124.34000059920736</v>
      </c>
      <c r="C47" s="49">
        <f>_xll.qlBondCleanPrice(C27,C46)</f>
        <v>124.38084443368287</v>
      </c>
    </row>
    <row r="48" spans="1:3" x14ac:dyDescent="0.25">
      <c r="A48" s="45" t="s">
        <v>56</v>
      </c>
      <c r="B48" s="46">
        <v>2.9558800538580478E-2</v>
      </c>
      <c r="C48" s="47">
        <v>2.9558800538580478E-2</v>
      </c>
    </row>
    <row r="49" spans="1:3" x14ac:dyDescent="0.25">
      <c r="A49" s="28" t="s">
        <v>34</v>
      </c>
      <c r="B49" s="48">
        <f>_xll.qlBondCleanPrice2(B27,B48,"actual360","continuous",,,B46)</f>
        <v>124.34000250702073</v>
      </c>
      <c r="C49" s="49">
        <f>_xll.qlBondCleanPrice2(C27,C48,"actual360","continuous",,,C46)</f>
        <v>124.38084633976943</v>
      </c>
    </row>
    <row r="50" spans="1:3" x14ac:dyDescent="0.25">
      <c r="A50" s="26" t="s">
        <v>35</v>
      </c>
      <c r="B50" s="61">
        <f>_xll.qlBondDirtyPrice(B27,B46)</f>
        <v>124.34000059920736</v>
      </c>
      <c r="C50" s="62">
        <f>_xll.qlBondDirtyPrice(C27,C46)</f>
        <v>124.38084443368287</v>
      </c>
    </row>
    <row r="51" spans="1:3" x14ac:dyDescent="0.25">
      <c r="A51" s="50" t="s">
        <v>36</v>
      </c>
      <c r="B51" s="51">
        <f>_xll.qlBondDirtyPrice2(B27,B48,"actual360","CONTINUOUS","annual",,B46)</f>
        <v>124.34000250702073</v>
      </c>
      <c r="C51" s="52">
        <f>_xll.qlBondDirtyPrice2(C27,C48,"actual360","CONTINUOUS","annual",,C46)</f>
        <v>124.38084633976943</v>
      </c>
    </row>
    <row r="52" spans="1:3" x14ac:dyDescent="0.25">
      <c r="A52" s="26" t="s">
        <v>37</v>
      </c>
      <c r="B52" s="61">
        <f>_xll.qlBondYield(B27,"actual360","CONTINUOUS","annual",,,B46)</f>
        <v>2.9558802241544439E-2</v>
      </c>
      <c r="C52" s="62">
        <f>_xll.qlBondYield(C27,"actual360","CONTINUOUS","annual",,,C46)</f>
        <v>2.9558802241544429E-2</v>
      </c>
    </row>
    <row r="53" spans="1:3" x14ac:dyDescent="0.25">
      <c r="A53" s="45" t="s">
        <v>120</v>
      </c>
      <c r="B53" s="46" t="str">
        <f>_xll.qlBondPrice(B47,"clean",B47)</f>
        <v>欣[test_bonds.xlsx]FixedRateBond!R53C2BondPrice,A</v>
      </c>
      <c r="C53" s="47" t="str">
        <f>_xll.qlBondPrice(C47,"clean",C47)</f>
        <v>欣[test_bonds.xlsx]FixedRateBond!R53C3BondPrice,A</v>
      </c>
    </row>
    <row r="54" spans="1:3" x14ac:dyDescent="0.25">
      <c r="A54" s="28" t="s">
        <v>38</v>
      </c>
      <c r="B54" s="48">
        <f>_xll.qlBondYield2(B27,B53,"actual360","CONTINUOUS","annual",,,,,B53)</f>
        <v>2.9558802241544439E-2</v>
      </c>
      <c r="C54" s="49">
        <f>_xll.qlBondYield2(C27,C53,"actual360","CONTINUOUS","annual",,,,,C53)</f>
        <v>2.9558802241544429E-2</v>
      </c>
    </row>
    <row r="55" spans="1:3" x14ac:dyDescent="0.25">
      <c r="A55" s="45" t="s">
        <v>54</v>
      </c>
      <c r="B55" s="39">
        <v>45667</v>
      </c>
      <c r="C55" s="40">
        <v>45667</v>
      </c>
    </row>
    <row r="56" spans="1:3" x14ac:dyDescent="0.25">
      <c r="A56" s="28" t="s">
        <v>39</v>
      </c>
      <c r="B56" s="48">
        <f>_xll.qlBondAccruedAmount(B27,B55,B46)</f>
        <v>2.2222222222212373E-2</v>
      </c>
      <c r="C56" s="49">
        <f>_xll.qlBondAccruedAmount(C27,C55,C46)</f>
        <v>2.2222222222212373E-2</v>
      </c>
    </row>
    <row r="57" spans="1:3" x14ac:dyDescent="0.25">
      <c r="A57" s="26" t="s">
        <v>40</v>
      </c>
      <c r="B57" s="61">
        <f>_xll.qlBondSettlementValue(B27,B46)</f>
        <v>124.34000059920736</v>
      </c>
      <c r="C57" s="62">
        <f>_xll.qlBondSettlementValue(C27,C46)</f>
        <v>124.38084443368287</v>
      </c>
    </row>
    <row r="58" spans="1:3" x14ac:dyDescent="0.25">
      <c r="A58" s="50" t="s">
        <v>41</v>
      </c>
      <c r="B58" s="51">
        <f>_xll.qlBondSettlementValue2(B27,B47)</f>
        <v>124.34000059920736</v>
      </c>
      <c r="C58" s="52">
        <f>_xll.qlBondSettlementValue2(C27,C47)</f>
        <v>124.38084443368287</v>
      </c>
    </row>
    <row r="59" spans="1:3" x14ac:dyDescent="0.25">
      <c r="A59" s="45" t="s">
        <v>153</v>
      </c>
      <c r="B59" s="46" t="str">
        <f>_xll.qlFlatForward($B$1,0.03,"actual365fixed",,,B27)</f>
        <v>欣[test_bonds.xlsx]FixedRateBond!R59C2YieldTermStructureHandle,A</v>
      </c>
      <c r="C59" s="47" t="str">
        <f>_xll.qlFlatForward($B$1,0.03,"actual365fixed",,,C27)</f>
        <v>欣[test_bonds.xlsx]FixedRateBond!R59C3YieldTermStructureHandle,A</v>
      </c>
    </row>
    <row r="60" spans="1:3" x14ac:dyDescent="0.25">
      <c r="A60" s="25" t="s">
        <v>162</v>
      </c>
      <c r="B60" s="61">
        <v>5.0000000000000001E-3</v>
      </c>
      <c r="C60" s="62">
        <v>5.0000000000000001E-3</v>
      </c>
    </row>
    <row r="61" spans="1:3" x14ac:dyDescent="0.25">
      <c r="A61" s="25" t="s">
        <v>164</v>
      </c>
      <c r="B61" s="61" t="s">
        <v>167</v>
      </c>
      <c r="C61" s="62" t="s">
        <v>167</v>
      </c>
    </row>
    <row r="62" spans="1:3" x14ac:dyDescent="0.25">
      <c r="A62" s="25" t="s">
        <v>163</v>
      </c>
      <c r="B62" s="61" t="s">
        <v>168</v>
      </c>
      <c r="C62" s="62" t="s">
        <v>168</v>
      </c>
    </row>
    <row r="63" spans="1:3" x14ac:dyDescent="0.25">
      <c r="A63" s="25" t="s">
        <v>165</v>
      </c>
      <c r="B63" s="61" t="s">
        <v>169</v>
      </c>
      <c r="C63" s="62" t="s">
        <v>169</v>
      </c>
    </row>
    <row r="64" spans="1:3" x14ac:dyDescent="0.25">
      <c r="A64" s="25" t="s">
        <v>166</v>
      </c>
      <c r="B64" s="61"/>
      <c r="C64" s="62"/>
    </row>
    <row r="65" spans="1:3" x14ac:dyDescent="0.25">
      <c r="A65" s="28" t="s">
        <v>161</v>
      </c>
      <c r="B65" s="29">
        <f>_xll.qlBondCleanPriceFromZSpread(B27,B59,B60,B61,B62,B63,,B59)</f>
        <v>119.08699120029004</v>
      </c>
      <c r="C65" s="30">
        <f>_xll.qlBondCleanPriceFromZSpread(C27,C59,C60,C61,C62,C63,,C59)</f>
        <v>119.13246891789954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5445-988F-4FD7-9234-8C10A40DEB2F}">
  <dimension ref="A1:C6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4.42578125" customWidth="1"/>
    <col min="2" max="3" width="74.7109375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121" t="s">
        <v>82</v>
      </c>
      <c r="B5" s="22">
        <v>150</v>
      </c>
      <c r="C5" s="23">
        <v>150</v>
      </c>
    </row>
    <row r="6" spans="1:3" x14ac:dyDescent="0.25">
      <c r="A6" s="121"/>
      <c r="B6" s="22">
        <v>125</v>
      </c>
      <c r="C6" s="23">
        <v>125</v>
      </c>
    </row>
    <row r="7" spans="1:3" x14ac:dyDescent="0.25">
      <c r="A7" s="121"/>
      <c r="B7" s="22">
        <v>100</v>
      </c>
      <c r="C7" s="23">
        <v>100</v>
      </c>
    </row>
    <row r="8" spans="1:3" hidden="1" x14ac:dyDescent="0.25">
      <c r="A8" s="21" t="s">
        <v>73</v>
      </c>
      <c r="B8" s="34">
        <v>45665</v>
      </c>
      <c r="C8" s="35">
        <v>45665</v>
      </c>
    </row>
    <row r="9" spans="1:3" hidden="1" x14ac:dyDescent="0.25">
      <c r="A9" s="21" t="s">
        <v>74</v>
      </c>
      <c r="B9" s="34">
        <v>49682</v>
      </c>
      <c r="C9" s="35">
        <v>49682</v>
      </c>
    </row>
    <row r="10" spans="1:3" hidden="1" x14ac:dyDescent="0.25">
      <c r="A10" s="21" t="s">
        <v>46</v>
      </c>
      <c r="B10" s="36" t="s">
        <v>52</v>
      </c>
      <c r="C10" s="37" t="s">
        <v>52</v>
      </c>
    </row>
    <row r="11" spans="1:3" hidden="1" x14ac:dyDescent="0.25">
      <c r="A11" s="21" t="s">
        <v>60</v>
      </c>
      <c r="B11" s="36" t="str">
        <f>_xll.qlCalendar("TARGET")</f>
        <v>TARGET</v>
      </c>
      <c r="C11" s="37" t="str">
        <f>_xll.qlCalendar("TARGET")</f>
        <v>TARGET</v>
      </c>
    </row>
    <row r="12" spans="1:3" hidden="1" x14ac:dyDescent="0.25">
      <c r="A12" s="21" t="s">
        <v>47</v>
      </c>
      <c r="B12" s="36" t="s">
        <v>53</v>
      </c>
      <c r="C12" s="37" t="s">
        <v>53</v>
      </c>
    </row>
    <row r="13" spans="1:3" hidden="1" x14ac:dyDescent="0.25">
      <c r="A13" s="21" t="s">
        <v>75</v>
      </c>
      <c r="B13" s="36" t="s">
        <v>53</v>
      </c>
      <c r="C13" s="37" t="s">
        <v>53</v>
      </c>
    </row>
    <row r="14" spans="1:3" hidden="1" x14ac:dyDescent="0.25">
      <c r="A14" s="21" t="s">
        <v>77</v>
      </c>
      <c r="B14" s="36" t="s">
        <v>79</v>
      </c>
      <c r="C14" s="37" t="s">
        <v>79</v>
      </c>
    </row>
    <row r="15" spans="1:3" hidden="1" x14ac:dyDescent="0.25">
      <c r="A15" s="21" t="s">
        <v>78</v>
      </c>
      <c r="B15" s="36">
        <v>0</v>
      </c>
      <c r="C15" s="37">
        <v>0</v>
      </c>
    </row>
    <row r="16" spans="1:3" x14ac:dyDescent="0.25">
      <c r="A16" s="24" t="s">
        <v>65</v>
      </c>
      <c r="B16" s="22" t="str">
        <f>_xll.qlSchedule(B8,B9,B10,B11,B12,B13,B14,B15)</f>
        <v>欣[test_bonds.xlsx]AmortizingFixedRateBond!R16C2Schedule,A</v>
      </c>
      <c r="C16" s="23" t="str">
        <f>_xll.qlSchedule(C8,C9,C10,C11,C12,C13,C14,C15)</f>
        <v>欣[test_bonds.xlsx]AmortizingFixedRateBond!R16C3Schedule,A</v>
      </c>
    </row>
    <row r="17" spans="1:3" x14ac:dyDescent="0.25">
      <c r="A17" s="121" t="s">
        <v>66</v>
      </c>
      <c r="B17" s="22">
        <v>0.04</v>
      </c>
      <c r="C17" s="23">
        <v>0.04</v>
      </c>
    </row>
    <row r="18" spans="1:3" x14ac:dyDescent="0.25">
      <c r="A18" s="121"/>
      <c r="B18" s="22">
        <v>0.05</v>
      </c>
      <c r="C18" s="23">
        <v>0.05</v>
      </c>
    </row>
    <row r="19" spans="1:3" x14ac:dyDescent="0.25">
      <c r="A19" s="121"/>
      <c r="B19" s="22">
        <v>0.06</v>
      </c>
      <c r="C19" s="23">
        <v>0.06</v>
      </c>
    </row>
    <row r="20" spans="1:3" x14ac:dyDescent="0.25">
      <c r="A20" s="24" t="s">
        <v>83</v>
      </c>
      <c r="B20" s="22" t="s">
        <v>148</v>
      </c>
      <c r="C20" s="23" t="s">
        <v>148</v>
      </c>
    </row>
    <row r="21" spans="1:3" x14ac:dyDescent="0.25">
      <c r="A21" s="24" t="s">
        <v>84</v>
      </c>
      <c r="B21" s="22"/>
      <c r="C21" s="23" t="s">
        <v>86</v>
      </c>
    </row>
    <row r="22" spans="1:3" x14ac:dyDescent="0.25">
      <c r="A22" s="24" t="s">
        <v>17</v>
      </c>
      <c r="B22" s="22"/>
      <c r="C22" s="42">
        <v>45663</v>
      </c>
    </row>
    <row r="23" spans="1:3" x14ac:dyDescent="0.25">
      <c r="A23" s="24" t="s">
        <v>69</v>
      </c>
      <c r="B23" s="22"/>
      <c r="C23" s="23" t="s">
        <v>76</v>
      </c>
    </row>
    <row r="24" spans="1:3" x14ac:dyDescent="0.25">
      <c r="A24" s="24" t="s">
        <v>70</v>
      </c>
      <c r="B24" s="22"/>
      <c r="C24" s="23" t="str">
        <f>_xll.qlCalendar("TARGET")</f>
        <v>TARGET</v>
      </c>
    </row>
    <row r="25" spans="1:3" x14ac:dyDescent="0.25">
      <c r="A25" s="24" t="s">
        <v>71</v>
      </c>
      <c r="B25" s="22"/>
      <c r="C25" s="23" t="s">
        <v>64</v>
      </c>
    </row>
    <row r="26" spans="1:3" x14ac:dyDescent="0.25">
      <c r="A26" s="24" t="s">
        <v>72</v>
      </c>
      <c r="B26" s="22"/>
      <c r="C26" s="23">
        <v>0</v>
      </c>
    </row>
    <row r="27" spans="1:3" x14ac:dyDescent="0.25">
      <c r="A27" s="104" t="s">
        <v>87</v>
      </c>
      <c r="B27" s="19"/>
      <c r="C27" s="20">
        <v>110</v>
      </c>
    </row>
    <row r="28" spans="1:3" x14ac:dyDescent="0.25">
      <c r="A28" s="105"/>
      <c r="B28" s="22"/>
      <c r="C28" s="23">
        <v>110</v>
      </c>
    </row>
    <row r="29" spans="1:3" x14ac:dyDescent="0.25">
      <c r="A29" s="106"/>
      <c r="B29" s="29"/>
      <c r="C29" s="30">
        <v>110</v>
      </c>
    </row>
    <row r="30" spans="1:3" x14ac:dyDescent="0.25">
      <c r="A30" s="43" t="s">
        <v>85</v>
      </c>
      <c r="B30" s="29" t="str">
        <f>_xll.qlAmortizingFixedRateBond(B4,B5:B7,B16,B17:B19,B20,,,,,,,,B2)</f>
        <v>欣[test_bonds.xlsx]AmortizingFixedRateBond!R30C2AmortizingFixedRateBond,A</v>
      </c>
      <c r="C30" s="30" t="str">
        <f>_xll.qlAmortizingFixedRateBond(C4,C5:C7,C16,C17:C19,C20,C21,C22,C23,C24,C25,C26,C27:C29,B2)</f>
        <v>欣[test_bonds.xlsx]AmortizingFixedRateBond!R30C3AmortizingFixedRateBond,A</v>
      </c>
    </row>
    <row r="31" spans="1:3" x14ac:dyDescent="0.25">
      <c r="A31" s="92" t="s">
        <v>20</v>
      </c>
      <c r="B31" s="19">
        <f>_xll.qlBondNextCouponRate(B30,,B30)</f>
        <v>0.04</v>
      </c>
      <c r="C31" s="20">
        <f>_xll.qlBondNextCouponRate(C30,,C30)</f>
        <v>0.04</v>
      </c>
    </row>
    <row r="32" spans="1:3" x14ac:dyDescent="0.25">
      <c r="A32" s="69" t="s">
        <v>21</v>
      </c>
      <c r="B32" s="67">
        <f>_xll.qlBondPreviousCouponRate(B30,,B30)</f>
        <v>0</v>
      </c>
      <c r="C32" s="68">
        <f>_xll.qlBondPreviousCouponRate(C30,,C30)</f>
        <v>0</v>
      </c>
    </row>
    <row r="33" spans="1:3" x14ac:dyDescent="0.25">
      <c r="A33" s="26" t="s">
        <v>22</v>
      </c>
      <c r="B33" s="41">
        <f>_xll.qlBondNextCashFlowDate(B30,,B30)</f>
        <v>46030</v>
      </c>
      <c r="C33" s="42">
        <f>_xll.qlBondNextCashFlowDate(C30,,C30)</f>
        <v>46030</v>
      </c>
    </row>
    <row r="34" spans="1:3" x14ac:dyDescent="0.25">
      <c r="A34" s="69" t="s">
        <v>23</v>
      </c>
      <c r="B34" s="94">
        <f>_xll.qlBondPreviousCashFlowDate(B30,,B30)</f>
        <v>0</v>
      </c>
      <c r="C34" s="87">
        <f>_xll.qlBondPreviousCashFlowDate(C30,,C30)</f>
        <v>0</v>
      </c>
    </row>
    <row r="35" spans="1:3" x14ac:dyDescent="0.25">
      <c r="A35" s="93" t="s">
        <v>24</v>
      </c>
      <c r="B35" s="22">
        <f>_xll.qlBondSettlementDays(B30,B30)</f>
        <v>2</v>
      </c>
      <c r="C35" s="23">
        <f>_xll.qlBondSettlementDays(C30,C30)</f>
        <v>2</v>
      </c>
    </row>
    <row r="36" spans="1:3" x14ac:dyDescent="0.25">
      <c r="A36" s="69" t="s">
        <v>25</v>
      </c>
      <c r="B36" s="94">
        <f>_xll.qlBondSettlementDate(B30,,B30)</f>
        <v>45663</v>
      </c>
      <c r="C36" s="87">
        <f>_xll.qlBondSettlementDate(C30,,C30)</f>
        <v>45663</v>
      </c>
    </row>
    <row r="37" spans="1:3" x14ac:dyDescent="0.25">
      <c r="A37" s="26" t="s">
        <v>26</v>
      </c>
      <c r="B37" s="22" t="b">
        <f>_xll.qlBondIsTradable(B30,,B30)</f>
        <v>1</v>
      </c>
      <c r="C37" s="23" t="b">
        <f>_xll.qlBondIsTradable(C30,,C30)</f>
        <v>1</v>
      </c>
    </row>
    <row r="38" spans="1:3" x14ac:dyDescent="0.25">
      <c r="A38" s="69" t="s">
        <v>27</v>
      </c>
      <c r="B38" s="94">
        <f>_xll.qlBondStartDate(B30,B30)</f>
        <v>45665</v>
      </c>
      <c r="C38" s="87">
        <f>_xll.qlBondStartDate(C30,C30)</f>
        <v>45665</v>
      </c>
    </row>
    <row r="39" spans="1:3" x14ac:dyDescent="0.25">
      <c r="A39" s="93" t="s">
        <v>28</v>
      </c>
      <c r="B39" s="41">
        <f>_xll.qlBondMaturityDate(B30,B30)</f>
        <v>49682</v>
      </c>
      <c r="C39" s="42">
        <f>_xll.qlBondMaturityDate(C30,C30)</f>
        <v>49682</v>
      </c>
    </row>
    <row r="40" spans="1:3" x14ac:dyDescent="0.25">
      <c r="A40" s="93" t="s">
        <v>29</v>
      </c>
      <c r="B40" s="67">
        <f>_xll.qlBondIssueDate(B30,B30)</f>
        <v>0</v>
      </c>
      <c r="C40" s="68">
        <f>_xll.qlBondIssueDate(C30,C30)</f>
        <v>45663</v>
      </c>
    </row>
    <row r="41" spans="1:3" x14ac:dyDescent="0.25">
      <c r="A41" s="26" t="s">
        <v>30</v>
      </c>
      <c r="B41" s="22" t="str">
        <f>_xll.qlBondCashFlows(B30,B30)</f>
        <v>欣[test_bonds.xlsx]AmortizingFixedRateBond!R41C2CashFlow,A</v>
      </c>
      <c r="C41" s="23" t="str">
        <f>_xll.qlBondCashFlows(C30,C30)</f>
        <v>欣[test_bonds.xlsx]AmortizingFixedRateBond!R41C3CashFlow,A</v>
      </c>
    </row>
    <row r="42" spans="1:3" x14ac:dyDescent="0.25">
      <c r="A42" s="69" t="s">
        <v>57</v>
      </c>
      <c r="B42" s="67">
        <f>FIND("RuntimeError: RuntimeError: multiple redemption cash flows given",_xll.qlBondRedemption(B30))</f>
        <v>1</v>
      </c>
      <c r="C42" s="68">
        <f>FIND("RuntimeError: RuntimeError: multiple redemption cash flows given",_xll.qlBondRedemption(B30))</f>
        <v>1</v>
      </c>
    </row>
    <row r="43" spans="1:3" x14ac:dyDescent="0.25">
      <c r="A43" s="93" t="s">
        <v>58</v>
      </c>
      <c r="B43" s="22" t="str">
        <f>_xll.qlBondRedemptions(B30,B30)</f>
        <v>欣[test_bonds.xlsx]AmortizingFixedRateBond!R43C2CashFlow,A</v>
      </c>
      <c r="C43" s="23" t="str">
        <f>_xll.qlBondRedemptions(C30,C30)</f>
        <v>欣[test_bonds.xlsx]AmortizingFixedRateBond!R43C3CashFlow,A</v>
      </c>
    </row>
    <row r="44" spans="1:3" x14ac:dyDescent="0.25">
      <c r="A44" s="69" t="s">
        <v>31</v>
      </c>
      <c r="B44" s="67" t="str">
        <f>_xll.qlBondCalendar(B30,B30)</f>
        <v>TARGET</v>
      </c>
      <c r="C44" s="68" t="str">
        <f>_xll.qlBondCalendar(C30,C30)</f>
        <v>TARGET</v>
      </c>
    </row>
    <row r="45" spans="1:3" x14ac:dyDescent="0.25">
      <c r="A45" s="26" t="s">
        <v>32</v>
      </c>
      <c r="B45" s="22">
        <f>_xll.qlBondNotional(B30)</f>
        <v>150</v>
      </c>
      <c r="C45" s="23">
        <f>_xll.qlBondNotional(C30)</f>
        <v>150</v>
      </c>
    </row>
    <row r="46" spans="1:3" x14ac:dyDescent="0.25">
      <c r="A46" s="50" t="s">
        <v>59</v>
      </c>
      <c r="B46" s="67">
        <f>_xll.qlBondNotionals(B30:B30)</f>
        <v>150</v>
      </c>
      <c r="C46" s="68">
        <f>_xll.qlBondNotionals(C30:C30)</f>
        <v>150</v>
      </c>
    </row>
    <row r="47" spans="1:3" x14ac:dyDescent="0.25">
      <c r="A47" s="45" t="s">
        <v>55</v>
      </c>
      <c r="B47" s="19" t="str">
        <f>_xll.qlFlatForward($B$1,0.03,"actual360","compounded","Annual",B30)</f>
        <v>欣[test_bonds.xlsx]AmortizingFixedRateBond!R47C2YieldTermStructureHandle,A</v>
      </c>
      <c r="C47" s="20" t="str">
        <f>_xll.qlFlatForward($B$1,0.03,"actual360","compounded","Annual",C30)</f>
        <v>欣[test_bonds.xlsx]AmortizingFixedRateBond!R47C3YieldTermStructureHandle,A</v>
      </c>
    </row>
    <row r="48" spans="1:3" x14ac:dyDescent="0.25">
      <c r="A48" s="26" t="s">
        <v>150</v>
      </c>
      <c r="B48" s="22" t="str">
        <f>_xll.qlDiscountingBondEngine(B47,B47)</f>
        <v>欣[test_bonds.xlsx]AmortizingFixedRateBond!R48C2DiscountingBondEngine,A</v>
      </c>
      <c r="C48" s="23" t="str">
        <f>_xll.qlDiscountingBondEngine(C47,C47)</f>
        <v>欣[test_bonds.xlsx]AmortizingFixedRateBond!R48C3DiscountingBondEngine,A</v>
      </c>
    </row>
    <row r="49" spans="1:3" x14ac:dyDescent="0.25">
      <c r="A49" s="89" t="s">
        <v>151</v>
      </c>
      <c r="B49" s="22" t="b">
        <f>_xll.qlInstrumentSetPricingEngine(B30,B48,B48)</f>
        <v>1</v>
      </c>
      <c r="C49" s="23" t="b">
        <f>_xll.qlInstrumentSetPricingEngine(C30,C48,C48)</f>
        <v>1</v>
      </c>
    </row>
    <row r="50" spans="1:3" x14ac:dyDescent="0.25">
      <c r="A50" s="26" t="s">
        <v>33</v>
      </c>
      <c r="B50" s="48">
        <f>_xll.qlBondCleanPrice(B30,B49)</f>
        <v>116.86543332111933</v>
      </c>
      <c r="C50" s="49">
        <f>_xll.qlBondCleanPrice(C30,C49)</f>
        <v>124.84630729008698</v>
      </c>
    </row>
    <row r="51" spans="1:3" x14ac:dyDescent="0.25">
      <c r="A51" s="45" t="s">
        <v>56</v>
      </c>
      <c r="B51" s="46">
        <v>2.9558800538580478E-2</v>
      </c>
      <c r="C51" s="47">
        <v>2.9558800538580478E-2</v>
      </c>
    </row>
    <row r="52" spans="1:3" x14ac:dyDescent="0.25">
      <c r="A52" s="28" t="s">
        <v>34</v>
      </c>
      <c r="B52" s="48">
        <f>_xll.qlBondCleanPrice2(B30,B51,"actual360","continuous",,,B49)</f>
        <v>116.86543467922786</v>
      </c>
      <c r="C52" s="49">
        <f>_xll.qlBondCleanPrice2(C30,C51,"actual360","continuous",,,C49)</f>
        <v>124.84630874749344</v>
      </c>
    </row>
    <row r="53" spans="1:3" x14ac:dyDescent="0.25">
      <c r="A53" s="26" t="s">
        <v>35</v>
      </c>
      <c r="B53" s="61">
        <f>_xll.qlBondDirtyPrice(B30,B49)</f>
        <v>116.86543332111933</v>
      </c>
      <c r="C53" s="62">
        <f>_xll.qlBondDirtyPrice(C30,C49)</f>
        <v>124.84630729008698</v>
      </c>
    </row>
    <row r="54" spans="1:3" x14ac:dyDescent="0.25">
      <c r="A54" s="50" t="s">
        <v>36</v>
      </c>
      <c r="B54" s="51">
        <f>_xll.qlBondDirtyPrice2(B30,B51,"actual360","CONTINUOUS","annual",,B49)</f>
        <v>116.86543467922786</v>
      </c>
      <c r="C54" s="52">
        <f>_xll.qlBondDirtyPrice2(C30,C51,"actual360","CONTINUOUS","annual",,C49)</f>
        <v>124.84630874749344</v>
      </c>
    </row>
    <row r="55" spans="1:3" x14ac:dyDescent="0.25">
      <c r="A55" s="26" t="s">
        <v>37</v>
      </c>
      <c r="B55" s="61">
        <f>_xll.qlBondYield(B30,"actual360","CONTINUOUS","annual",,,B49)</f>
        <v>2.9558802241544418E-2</v>
      </c>
      <c r="C55" s="62">
        <f>_xll.qlBondYield(C30,"actual360","CONTINUOUS","annual",,,C49)</f>
        <v>2.9558802241544401E-2</v>
      </c>
    </row>
    <row r="56" spans="1:3" x14ac:dyDescent="0.25">
      <c r="A56" s="45" t="s">
        <v>120</v>
      </c>
      <c r="B56" s="46" t="str">
        <f>_xll.qlBondPrice(B50,"clean",B50)</f>
        <v>欣[test_bonds.xlsx]AmortizingFixedRateBond!R56C2BondPrice,A</v>
      </c>
      <c r="C56" s="47" t="str">
        <f>_xll.qlBondPrice(C50,"clean",C50)</f>
        <v>欣[test_bonds.xlsx]AmortizingFixedRateBond!R56C3BondPrice,A</v>
      </c>
    </row>
    <row r="57" spans="1:3" x14ac:dyDescent="0.25">
      <c r="A57" s="28" t="s">
        <v>38</v>
      </c>
      <c r="B57" s="48">
        <f>_xll.qlBondYield2(B30,B56,"actual360","CONTINUOUS","annual",,,,,B56)</f>
        <v>2.9558802241544418E-2</v>
      </c>
      <c r="C57" s="49">
        <f>_xll.qlBondYield2(C30,C56,"actual360","CONTINUOUS","annual",,,,,C56)</f>
        <v>2.9558802241544401E-2</v>
      </c>
    </row>
    <row r="58" spans="1:3" x14ac:dyDescent="0.25">
      <c r="A58" s="45" t="s">
        <v>54</v>
      </c>
      <c r="B58" s="39">
        <v>45667</v>
      </c>
      <c r="C58" s="40">
        <v>45667</v>
      </c>
    </row>
    <row r="59" spans="1:3" x14ac:dyDescent="0.25">
      <c r="A59" s="28" t="s">
        <v>39</v>
      </c>
      <c r="B59" s="48">
        <f>_xll.qlBondAccruedAmount(B30,B58,B49)</f>
        <v>2.2222222222212373E-2</v>
      </c>
      <c r="C59" s="49">
        <f>_xll.qlBondAccruedAmount(C30,C58,C49)</f>
        <v>2.2222222222212373E-2</v>
      </c>
    </row>
    <row r="60" spans="1:3" x14ac:dyDescent="0.25">
      <c r="A60" s="50" t="s">
        <v>40</v>
      </c>
      <c r="B60" s="51">
        <f>_xll.qlBondSettlementValue(B30,B49)</f>
        <v>175.29814998167899</v>
      </c>
      <c r="C60" s="52">
        <f>_xll.qlBondSettlementValue(C30,C49)</f>
        <v>187.26946093513047</v>
      </c>
    </row>
    <row r="61" spans="1:3" x14ac:dyDescent="0.25">
      <c r="A61" s="50" t="s">
        <v>41</v>
      </c>
      <c r="B61" s="51">
        <f>_xll.qlBondSettlementValue2(B30,B50)</f>
        <v>175.29814998167896</v>
      </c>
      <c r="C61" s="52">
        <f>_xll.qlBondSettlementValue2(C30,C50)</f>
        <v>187.2694609351305</v>
      </c>
    </row>
    <row r="62" spans="1:3" x14ac:dyDescent="0.25">
      <c r="A62" s="25" t="s">
        <v>153</v>
      </c>
      <c r="B62" s="61" t="str">
        <f>_xll.qlFlatForward($B$1,0.03,"actual365fixed",,,B30)</f>
        <v>欣[test_bonds.xlsx]AmortizingFixedRateBond!R62C2YieldTermStructureHandle,A</v>
      </c>
      <c r="C62" s="62" t="str">
        <f>_xll.qlFlatForward($B$1,0.03,"actual365fixed",,,C30)</f>
        <v>欣[test_bonds.xlsx]AmortizingFixedRateBond!R62C3YieldTermStructureHandle,A</v>
      </c>
    </row>
    <row r="63" spans="1:3" x14ac:dyDescent="0.25">
      <c r="A63" s="25" t="s">
        <v>162</v>
      </c>
      <c r="B63" s="61">
        <v>5.0000000000000001E-3</v>
      </c>
      <c r="C63" s="62">
        <v>5.0000000000000001E-3</v>
      </c>
    </row>
    <row r="64" spans="1:3" x14ac:dyDescent="0.25">
      <c r="A64" s="25" t="s">
        <v>164</v>
      </c>
      <c r="B64" s="61" t="s">
        <v>167</v>
      </c>
      <c r="C64" s="62" t="s">
        <v>167</v>
      </c>
    </row>
    <row r="65" spans="1:3" x14ac:dyDescent="0.25">
      <c r="A65" s="25" t="s">
        <v>163</v>
      </c>
      <c r="B65" s="61" t="s">
        <v>168</v>
      </c>
      <c r="C65" s="62" t="s">
        <v>168</v>
      </c>
    </row>
    <row r="66" spans="1:3" x14ac:dyDescent="0.25">
      <c r="A66" s="25" t="s">
        <v>165</v>
      </c>
      <c r="B66" s="61" t="s">
        <v>169</v>
      </c>
      <c r="C66" s="62" t="s">
        <v>169</v>
      </c>
    </row>
    <row r="67" spans="1:3" x14ac:dyDescent="0.25">
      <c r="A67" s="25" t="s">
        <v>166</v>
      </c>
      <c r="B67" s="61"/>
      <c r="C67" s="62"/>
    </row>
    <row r="68" spans="1:3" x14ac:dyDescent="0.25">
      <c r="A68" s="28" t="s">
        <v>161</v>
      </c>
      <c r="B68" s="29">
        <f>_xll.qlBondCleanPriceFromZSpread(B30,B62,B63,B64,B65,B66,,B62)</f>
        <v>113.12097995518857</v>
      </c>
      <c r="C68" s="30">
        <f>_xll.qlBondCleanPriceFromZSpread(C30,C62,C63,C64,C65,C66,,C62)</f>
        <v>120.82857387849862</v>
      </c>
    </row>
  </sheetData>
  <mergeCells count="2">
    <mergeCell ref="A17:A19"/>
    <mergeCell ref="A5:A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30CA-2F79-453E-B116-2A48310E361D}">
  <dimension ref="A1:C7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5.42578125" customWidth="1"/>
    <col min="2" max="3" width="79.140625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121" t="s">
        <v>88</v>
      </c>
      <c r="B5" s="22">
        <v>150</v>
      </c>
      <c r="C5" s="23">
        <v>150</v>
      </c>
    </row>
    <row r="6" spans="1:3" x14ac:dyDescent="0.25">
      <c r="A6" s="121"/>
      <c r="B6" s="22">
        <v>125</v>
      </c>
      <c r="C6" s="23">
        <v>125</v>
      </c>
    </row>
    <row r="7" spans="1:3" x14ac:dyDescent="0.25">
      <c r="A7" s="121"/>
      <c r="B7" s="22">
        <v>100</v>
      </c>
      <c r="C7" s="23">
        <v>100</v>
      </c>
    </row>
    <row r="8" spans="1:3" x14ac:dyDescent="0.25">
      <c r="A8" s="31" t="s">
        <v>73</v>
      </c>
      <c r="B8" s="32">
        <v>45665</v>
      </c>
      <c r="C8" s="33">
        <v>45665</v>
      </c>
    </row>
    <row r="9" spans="1:3" x14ac:dyDescent="0.25">
      <c r="A9" s="21" t="s">
        <v>74</v>
      </c>
      <c r="B9" s="34">
        <v>49682</v>
      </c>
      <c r="C9" s="35">
        <v>49682</v>
      </c>
    </row>
    <row r="10" spans="1:3" x14ac:dyDescent="0.25">
      <c r="A10" s="21" t="s">
        <v>46</v>
      </c>
      <c r="B10" s="36" t="s">
        <v>52</v>
      </c>
      <c r="C10" s="37" t="s">
        <v>52</v>
      </c>
    </row>
    <row r="11" spans="1:3" x14ac:dyDescent="0.25">
      <c r="A11" s="21" t="s">
        <v>60</v>
      </c>
      <c r="B11" s="36" t="str">
        <f>_xll.qlCalendar("TARGET")</f>
        <v>TARGET</v>
      </c>
      <c r="C11" s="37" t="str">
        <f>_xll.qlCalendar("TARGET")</f>
        <v>TARGET</v>
      </c>
    </row>
    <row r="12" spans="1:3" x14ac:dyDescent="0.25">
      <c r="A12" s="21" t="s">
        <v>47</v>
      </c>
      <c r="B12" s="36" t="s">
        <v>53</v>
      </c>
      <c r="C12" s="37" t="s">
        <v>53</v>
      </c>
    </row>
    <row r="13" spans="1:3" x14ac:dyDescent="0.25">
      <c r="A13" s="21" t="s">
        <v>75</v>
      </c>
      <c r="B13" s="36" t="s">
        <v>53</v>
      </c>
      <c r="C13" s="37" t="s">
        <v>53</v>
      </c>
    </row>
    <row r="14" spans="1:3" x14ac:dyDescent="0.25">
      <c r="A14" s="21" t="s">
        <v>77</v>
      </c>
      <c r="B14" s="36" t="s">
        <v>79</v>
      </c>
      <c r="C14" s="37" t="s">
        <v>79</v>
      </c>
    </row>
    <row r="15" spans="1:3" x14ac:dyDescent="0.25">
      <c r="A15" s="21" t="s">
        <v>78</v>
      </c>
      <c r="B15" s="36">
        <v>0</v>
      </c>
      <c r="C15" s="37">
        <v>0</v>
      </c>
    </row>
    <row r="16" spans="1:3" x14ac:dyDescent="0.25">
      <c r="A16" s="38" t="s">
        <v>65</v>
      </c>
      <c r="B16" s="29" t="str">
        <f>_xll.qlSchedule(B8,B9,B10,B11,B12,B13,B14,B15,,,B2)</f>
        <v>欣[test_bonds.xlsx]AmortizingFloatingRateBond!R16C2Schedule,A</v>
      </c>
      <c r="C16" s="30" t="str">
        <f>_xll.qlSchedule(C8,C9,C10,C11,C12,C13,C14,C15,,,B2)</f>
        <v>欣[test_bonds.xlsx]AmortizingFloatingRateBond!R16C3Schedule,A</v>
      </c>
    </row>
    <row r="17" spans="1:3" x14ac:dyDescent="0.25">
      <c r="A17" s="110" t="s">
        <v>55</v>
      </c>
      <c r="B17" s="111" t="str">
        <f>_xll.qlFlatForward(B2,0.03,"actual360","compounded","Quarterly",B16)</f>
        <v>欣[test_bonds.xlsx]AmortizingFloatingRateBond!R17C2YieldTermStructureHandle,A</v>
      </c>
      <c r="C17" s="112" t="str">
        <f>_xll.qlFlatForward(C2,0.03,"actual360","compounded","Quarterly",C16)</f>
        <v>欣[test_bonds.xlsx]AmortizingFloatingRateBond!R17C3YieldTermStructureHandle,A</v>
      </c>
    </row>
    <row r="18" spans="1:3" x14ac:dyDescent="0.25">
      <c r="A18" s="38" t="s">
        <v>89</v>
      </c>
      <c r="B18" s="29" t="str">
        <f>_xll.qlEuribor("3M",B17,B17)</f>
        <v>欣[test_bonds.xlsx]AmortizingFloatingRateBond!R18C2Euribor,A</v>
      </c>
      <c r="C18" s="30" t="str">
        <f>_xll.qlEuribor("3M",C17,C17)</f>
        <v>欣[test_bonds.xlsx]AmortizingFloatingRateBond!R18C3Euribor,A</v>
      </c>
    </row>
    <row r="19" spans="1:3" x14ac:dyDescent="0.25">
      <c r="A19" s="24" t="s">
        <v>83</v>
      </c>
      <c r="B19" s="22" t="s">
        <v>148</v>
      </c>
      <c r="C19" s="23" t="s">
        <v>148</v>
      </c>
    </row>
    <row r="20" spans="1:3" x14ac:dyDescent="0.25">
      <c r="A20" s="24" t="s">
        <v>84</v>
      </c>
      <c r="B20" s="22"/>
      <c r="C20" s="23" t="s">
        <v>64</v>
      </c>
    </row>
    <row r="21" spans="1:3" x14ac:dyDescent="0.25">
      <c r="A21" s="24" t="s">
        <v>90</v>
      </c>
      <c r="B21" s="22"/>
      <c r="C21" s="23">
        <v>0</v>
      </c>
    </row>
    <row r="22" spans="1:3" x14ac:dyDescent="0.25">
      <c r="A22" s="24" t="s">
        <v>91</v>
      </c>
      <c r="B22" s="22"/>
      <c r="C22" s="23">
        <v>1</v>
      </c>
    </row>
    <row r="23" spans="1:3" x14ac:dyDescent="0.25">
      <c r="A23" s="24" t="s">
        <v>92</v>
      </c>
      <c r="B23" s="22"/>
      <c r="C23" s="23">
        <v>1E-3</v>
      </c>
    </row>
    <row r="24" spans="1:3" x14ac:dyDescent="0.25">
      <c r="A24" s="113" t="s">
        <v>93</v>
      </c>
      <c r="B24" s="22"/>
      <c r="C24" s="23"/>
    </row>
    <row r="25" spans="1:3" x14ac:dyDescent="0.25">
      <c r="A25" s="113" t="s">
        <v>94</v>
      </c>
      <c r="B25" s="22"/>
      <c r="C25" s="23"/>
    </row>
    <row r="26" spans="1:3" x14ac:dyDescent="0.25">
      <c r="A26" s="25" t="s">
        <v>95</v>
      </c>
      <c r="B26" s="22"/>
      <c r="C26" s="23">
        <v>0</v>
      </c>
    </row>
    <row r="27" spans="1:3" x14ac:dyDescent="0.25">
      <c r="A27" s="25" t="s">
        <v>17</v>
      </c>
      <c r="B27" s="22"/>
      <c r="C27" s="42">
        <v>45663</v>
      </c>
    </row>
    <row r="28" spans="1:3" x14ac:dyDescent="0.25">
      <c r="A28" s="24" t="s">
        <v>69</v>
      </c>
      <c r="B28" s="22"/>
      <c r="C28" s="23" t="s">
        <v>76</v>
      </c>
    </row>
    <row r="29" spans="1:3" x14ac:dyDescent="0.25">
      <c r="A29" s="24" t="s">
        <v>70</v>
      </c>
      <c r="B29" s="22"/>
      <c r="C29" s="23" t="str">
        <f>_xll.qlCalendar("TARGET")</f>
        <v>TARGET</v>
      </c>
    </row>
    <row r="30" spans="1:3" x14ac:dyDescent="0.25">
      <c r="A30" s="24" t="s">
        <v>71</v>
      </c>
      <c r="B30" s="22"/>
      <c r="C30" s="23" t="s">
        <v>53</v>
      </c>
    </row>
    <row r="31" spans="1:3" x14ac:dyDescent="0.25">
      <c r="A31" s="24" t="s">
        <v>72</v>
      </c>
      <c r="B31" s="22"/>
      <c r="C31" s="23">
        <v>0</v>
      </c>
    </row>
    <row r="32" spans="1:3" x14ac:dyDescent="0.25">
      <c r="A32" s="24" t="s">
        <v>87</v>
      </c>
      <c r="B32" s="22"/>
      <c r="C32" s="23">
        <v>100</v>
      </c>
    </row>
    <row r="33" spans="1:3" x14ac:dyDescent="0.25">
      <c r="A33" s="24" t="s">
        <v>96</v>
      </c>
      <c r="B33" s="22"/>
      <c r="C33" s="23">
        <v>0</v>
      </c>
    </row>
    <row r="34" spans="1:3" x14ac:dyDescent="0.25">
      <c r="A34" s="43" t="s">
        <v>97</v>
      </c>
      <c r="B34" s="30" t="str">
        <f>_xll.qlAmortizingFloatingRateBond(B4,B5:B7,B16,B18,B19,,,,,,,,,,,,,,,B18)</f>
        <v>欣[test_bonds.xlsx]AmortizingFloatingRateBond!R34C2AmortizingFloatingRateBond,A</v>
      </c>
      <c r="C34" s="30" t="str">
        <f>_xll.qlAmortizingFloatingRateBond(C4,C5:C7,C16,C18,C19,C20,C21,C22,C23,C24:C24,C25,C26,C27,C28,C29,C30,C31,C32,C33,C18)</f>
        <v>欣[test_bonds.xlsx]AmortizingFloatingRateBond!R34C3AmortizingFloatingRateBond,A</v>
      </c>
    </row>
    <row r="35" spans="1:3" x14ac:dyDescent="0.25">
      <c r="A35" s="92" t="s">
        <v>20</v>
      </c>
      <c r="B35" s="19">
        <f>_xll.qlBondNextCouponRate(B34,,B34)</f>
        <v>3.0348052211436018E-2</v>
      </c>
      <c r="C35" s="20">
        <f>_xll.qlBondNextCouponRate(C34,,C34)</f>
        <v>3.1348052211435579E-2</v>
      </c>
    </row>
    <row r="36" spans="1:3" x14ac:dyDescent="0.25">
      <c r="A36" s="69" t="s">
        <v>21</v>
      </c>
      <c r="B36" s="67">
        <f>_xll.qlBondPreviousCouponRate(B34,,B34)</f>
        <v>0</v>
      </c>
      <c r="C36" s="68">
        <f>_xll.qlBondPreviousCouponRate(C34,,C34)</f>
        <v>0</v>
      </c>
    </row>
    <row r="37" spans="1:3" x14ac:dyDescent="0.25">
      <c r="A37" s="26" t="s">
        <v>22</v>
      </c>
      <c r="B37" s="41">
        <f>_xll.qlBondNextCashFlowDate(B34,,B34)</f>
        <v>46030</v>
      </c>
      <c r="C37" s="42">
        <f>_xll.qlBondNextCashFlowDate(C34,,C34)</f>
        <v>46030</v>
      </c>
    </row>
    <row r="38" spans="1:3" x14ac:dyDescent="0.25">
      <c r="A38" s="69" t="s">
        <v>23</v>
      </c>
      <c r="B38" s="94">
        <f>_xll.qlBondPreviousCashFlowDate(B34,,B34)</f>
        <v>0</v>
      </c>
      <c r="C38" s="87">
        <f>_xll.qlBondPreviousCashFlowDate(C34,,C34)</f>
        <v>0</v>
      </c>
    </row>
    <row r="39" spans="1:3" x14ac:dyDescent="0.25">
      <c r="A39" s="93" t="s">
        <v>24</v>
      </c>
      <c r="B39" s="22">
        <f>_xll.qlBondSettlementDays(B34,B34)</f>
        <v>2</v>
      </c>
      <c r="C39" s="23">
        <f>_xll.qlBondSettlementDays(C34,C34)</f>
        <v>2</v>
      </c>
    </row>
    <row r="40" spans="1:3" x14ac:dyDescent="0.25">
      <c r="A40" s="69" t="s">
        <v>25</v>
      </c>
      <c r="B40" s="94">
        <f>_xll.qlBondSettlementDate(B34,,B34)</f>
        <v>45663</v>
      </c>
      <c r="C40" s="87">
        <f>_xll.qlBondSettlementDate(C34,,C34)</f>
        <v>45663</v>
      </c>
    </row>
    <row r="41" spans="1:3" x14ac:dyDescent="0.25">
      <c r="A41" s="26" t="s">
        <v>26</v>
      </c>
      <c r="B41" s="22" t="b">
        <f>_xll.qlBondIsTradable(B34,,B34)</f>
        <v>1</v>
      </c>
      <c r="C41" s="23" t="b">
        <f>_xll.qlBondIsTradable(C34,,C34)</f>
        <v>1</v>
      </c>
    </row>
    <row r="42" spans="1:3" x14ac:dyDescent="0.25">
      <c r="A42" s="69" t="s">
        <v>27</v>
      </c>
      <c r="B42" s="94">
        <f>_xll.qlBondStartDate(B34,B34)</f>
        <v>45665</v>
      </c>
      <c r="C42" s="87">
        <f>_xll.qlBondStartDate(C34,C34)</f>
        <v>45665</v>
      </c>
    </row>
    <row r="43" spans="1:3" x14ac:dyDescent="0.25">
      <c r="A43" s="93" t="s">
        <v>28</v>
      </c>
      <c r="B43" s="41">
        <f>_xll.qlBondMaturityDate(B34,B34)</f>
        <v>49682</v>
      </c>
      <c r="C43" s="42">
        <f>_xll.qlBondMaturityDate(C34,C34)</f>
        <v>49682</v>
      </c>
    </row>
    <row r="44" spans="1:3" x14ac:dyDescent="0.25">
      <c r="A44" s="69" t="s">
        <v>29</v>
      </c>
      <c r="B44" s="67">
        <f>_xll.qlBondIssueDate(B34,B34)</f>
        <v>0</v>
      </c>
      <c r="C44" s="68">
        <f>_xll.qlBondIssueDate(C34,C34)</f>
        <v>45663</v>
      </c>
    </row>
    <row r="45" spans="1:3" x14ac:dyDescent="0.25">
      <c r="A45" s="26" t="s">
        <v>30</v>
      </c>
      <c r="B45" s="22" t="str">
        <f>_xll.qlBondCashFlows(B34,B34)</f>
        <v>欣[test_bonds.xlsx]AmortizingFloatingRateBond!R45C2CashFlow,A</v>
      </c>
      <c r="C45" s="23" t="str">
        <f>_xll.qlBondCashFlows(C34,C34)</f>
        <v>欣[test_bonds.xlsx]AmortizingFloatingRateBond!R45C3CashFlow,A</v>
      </c>
    </row>
    <row r="46" spans="1:3" x14ac:dyDescent="0.25">
      <c r="A46" s="69" t="s">
        <v>57</v>
      </c>
      <c r="B46" s="67">
        <f>FIND("RuntimeError: RuntimeError: multiple redemption cash flows given",_xll.qlBondRedemption(B34))</f>
        <v>1</v>
      </c>
      <c r="C46" s="68">
        <f>FIND("RuntimeError: RuntimeError: multiple redemption cash flows given",_xll.qlBondRedemption(C34))</f>
        <v>1</v>
      </c>
    </row>
    <row r="47" spans="1:3" x14ac:dyDescent="0.25">
      <c r="A47" s="93" t="s">
        <v>58</v>
      </c>
      <c r="B47" s="22" t="str">
        <f>_xll.qlBondRedemptions(B34,B34)</f>
        <v>欣[test_bonds.xlsx]AmortizingFloatingRateBond!R47C2CashFlow,A</v>
      </c>
      <c r="C47" s="23" t="str">
        <f>_xll.qlBondRedemptions(C34,C34)</f>
        <v>欣[test_bonds.xlsx]AmortizingFloatingRateBond!R47C3CashFlow,A</v>
      </c>
    </row>
    <row r="48" spans="1:3" x14ac:dyDescent="0.25">
      <c r="A48" s="69" t="s">
        <v>31</v>
      </c>
      <c r="B48" s="67" t="str">
        <f>_xll.qlBondCalendar(B34,B34)</f>
        <v>TARGET</v>
      </c>
      <c r="C48" s="68" t="str">
        <f>_xll.qlBondCalendar(C34,C34)</f>
        <v>TARGET</v>
      </c>
    </row>
    <row r="49" spans="1:3" x14ac:dyDescent="0.25">
      <c r="A49" s="26" t="s">
        <v>32</v>
      </c>
      <c r="B49" s="22">
        <f>_xll.qlBondNotional(B34)</f>
        <v>150</v>
      </c>
      <c r="C49" s="23">
        <f>_xll.qlBondNotional(C34)</f>
        <v>150</v>
      </c>
    </row>
    <row r="50" spans="1:3" x14ac:dyDescent="0.25">
      <c r="A50" s="50" t="s">
        <v>59</v>
      </c>
      <c r="B50" s="67">
        <f>_xll.qlBondNotionals(B34:B34)</f>
        <v>150</v>
      </c>
      <c r="C50" s="68">
        <f>_xll.qlBondNotionals(C34:C34)</f>
        <v>150</v>
      </c>
    </row>
    <row r="51" spans="1:3" x14ac:dyDescent="0.25">
      <c r="A51" s="45" t="s">
        <v>55</v>
      </c>
      <c r="B51" s="19" t="str">
        <f>_xll.qlFlatForward($B$1,0.03,"actual360","compounded","Annual",B34)</f>
        <v>欣[test_bonds.xlsx]AmortizingFloatingRateBond!R51C2YieldTermStructureHandle,A</v>
      </c>
      <c r="C51" s="20" t="str">
        <f>_xll.qlFlatForward($B$1,0.03,"actual360","compounded","Annual",C34)</f>
        <v>欣[test_bonds.xlsx]AmortizingFloatingRateBond!R51C3YieldTermStructureHandle,A</v>
      </c>
    </row>
    <row r="52" spans="1:3" x14ac:dyDescent="0.25">
      <c r="A52" s="26" t="s">
        <v>150</v>
      </c>
      <c r="B52" s="22" t="str">
        <f>_xll.qlDiscountingBondEngine(B51,B51)</f>
        <v>欣[test_bonds.xlsx]AmortizingFloatingRateBond!R52C2DiscountingBondEngine,A</v>
      </c>
      <c r="C52" s="23" t="str">
        <f>_xll.qlDiscountingBondEngine(C51,C51)</f>
        <v>欣[test_bonds.xlsx]AmortizingFloatingRateBond!R52C3DiscountingBondEngine,A</v>
      </c>
    </row>
    <row r="53" spans="1:3" x14ac:dyDescent="0.25">
      <c r="A53" s="89" t="s">
        <v>151</v>
      </c>
      <c r="B53" s="22" t="b">
        <f>_xll.qlInstrumentSetPricingEngine(B34,B52,B52)</f>
        <v>1</v>
      </c>
      <c r="C53" s="23" t="b">
        <f>_xll.qlInstrumentSetPricingEngine(C34,C52,C52)</f>
        <v>1</v>
      </c>
    </row>
    <row r="54" spans="1:3" x14ac:dyDescent="0.25">
      <c r="A54" s="26" t="s">
        <v>33</v>
      </c>
      <c r="B54" s="48">
        <f>_xll.qlBondCleanPrice(B34,B53)</f>
        <v>99.922545427078987</v>
      </c>
      <c r="C54" s="49">
        <f>_xll.qlBondCleanPrice(C34,C53)</f>
        <v>100.58580749401362</v>
      </c>
    </row>
    <row r="55" spans="1:3" x14ac:dyDescent="0.25">
      <c r="A55" s="45" t="s">
        <v>56</v>
      </c>
      <c r="B55" s="46">
        <v>2.9558800538580478E-2</v>
      </c>
      <c r="C55" s="47">
        <v>2.9558800538580478E-2</v>
      </c>
    </row>
    <row r="56" spans="1:3" x14ac:dyDescent="0.25">
      <c r="A56" s="28" t="s">
        <v>34</v>
      </c>
      <c r="B56" s="48">
        <f>_xll.qlBondCleanPrice2(B34,B55,"actual360","continuous",,,B53)</f>
        <v>99.922546608126581</v>
      </c>
      <c r="C56" s="49">
        <f>_xll.qlBondCleanPrice2(C34,C55,"actual360","continuous",,,C53)</f>
        <v>100.58580868123735</v>
      </c>
    </row>
    <row r="57" spans="1:3" x14ac:dyDescent="0.25">
      <c r="A57" s="26" t="s">
        <v>35</v>
      </c>
      <c r="B57" s="61">
        <f>_xll.qlBondDirtyPrice(B34,B53)</f>
        <v>99.922545427078987</v>
      </c>
      <c r="C57" s="62">
        <f>_xll.qlBondDirtyPrice(C34,C53)</f>
        <v>100.58580749401362</v>
      </c>
    </row>
    <row r="58" spans="1:3" x14ac:dyDescent="0.25">
      <c r="A58" s="50" t="s">
        <v>36</v>
      </c>
      <c r="B58" s="51">
        <f>_xll.qlBondDirtyPrice2(B34,B55,"actual360","CONTINUOUS","annual",,B53)</f>
        <v>99.922546608126581</v>
      </c>
      <c r="C58" s="52">
        <f>_xll.qlBondDirtyPrice2(C34,C55,"actual360","CONTINUOUS","annual",,C53)</f>
        <v>100.58580868123735</v>
      </c>
    </row>
    <row r="59" spans="1:3" x14ac:dyDescent="0.25">
      <c r="A59" s="26" t="s">
        <v>37</v>
      </c>
      <c r="B59" s="61">
        <f>_xll.qlBondYield(B34,"actual360","CONTINUOUS","annual",,,B53)</f>
        <v>2.9558802241544439E-2</v>
      </c>
      <c r="C59" s="62">
        <f>_xll.qlBondYield(C34,"actual360","CONTINUOUS","annual",,,C53)</f>
        <v>2.9558802241544436E-2</v>
      </c>
    </row>
    <row r="60" spans="1:3" x14ac:dyDescent="0.25">
      <c r="A60" s="45" t="s">
        <v>120</v>
      </c>
      <c r="B60" s="46" t="str">
        <f>_xll.qlBondPrice(B54,"clean",B54)</f>
        <v>欣[test_bonds.xlsx]AmortizingFloatingRateBond!R60C2BondPrice,A</v>
      </c>
      <c r="C60" s="47" t="str">
        <f>_xll.qlBondPrice(C54,"clean",C54)</f>
        <v>欣[test_bonds.xlsx]AmortizingFloatingRateBond!R60C3BondPrice,A</v>
      </c>
    </row>
    <row r="61" spans="1:3" x14ac:dyDescent="0.25">
      <c r="A61" s="28" t="s">
        <v>38</v>
      </c>
      <c r="B61" s="48">
        <f>_xll.qlBondYield2(B34,B60,"actual360","CONTINUOUS","annual",,,,,B60)</f>
        <v>2.9558802241544439E-2</v>
      </c>
      <c r="C61" s="49">
        <f>_xll.qlBondYield2(C34,C60,"actual360","CONTINUOUS","annual",,,,,C60)</f>
        <v>2.9558802241544436E-2</v>
      </c>
    </row>
    <row r="62" spans="1:3" x14ac:dyDescent="0.25">
      <c r="A62" s="45" t="s">
        <v>54</v>
      </c>
      <c r="B62" s="39">
        <v>45667</v>
      </c>
      <c r="C62" s="40">
        <v>45667</v>
      </c>
    </row>
    <row r="63" spans="1:3" x14ac:dyDescent="0.25">
      <c r="A63" s="28" t="s">
        <v>39</v>
      </c>
      <c r="B63" s="48">
        <f>_xll.qlBondAccruedAmount(B34,B62,B53)</f>
        <v>1.6860029006353344E-2</v>
      </c>
      <c r="C63" s="49">
        <f>_xll.qlBondAccruedAmount(C34,C62,C53)</f>
        <v>1.7415584561908656E-2</v>
      </c>
    </row>
    <row r="64" spans="1:3" x14ac:dyDescent="0.25">
      <c r="A64" s="26" t="s">
        <v>40</v>
      </c>
      <c r="B64" s="61">
        <f>_xll.qlBondSettlementValue(B34,B53)</f>
        <v>149.88381814061847</v>
      </c>
      <c r="C64" s="62">
        <f>_xll.qlBondSettlementValue(C34,C53)</f>
        <v>150.87871124102043</v>
      </c>
    </row>
    <row r="65" spans="1:3" x14ac:dyDescent="0.25">
      <c r="A65" s="50" t="s">
        <v>41</v>
      </c>
      <c r="B65" s="51">
        <f>_xll.qlBondSettlementValue2(B34,B54)</f>
        <v>149.88381814061847</v>
      </c>
      <c r="C65" s="52">
        <f>_xll.qlBondSettlementValue2(C34,C54)</f>
        <v>150.87871124102043</v>
      </c>
    </row>
    <row r="66" spans="1:3" x14ac:dyDescent="0.25">
      <c r="A66" s="45" t="s">
        <v>153</v>
      </c>
      <c r="B66" s="46" t="str">
        <f>_xll.qlFlatForward($B$1,0.03,"actual365fixed",,,B34)</f>
        <v>欣[test_bonds.xlsx]AmortizingFloatingRateBond!R66C2YieldTermStructureHandle,A</v>
      </c>
      <c r="C66" s="47" t="str">
        <f>_xll.qlFlatForward($B$1,0.03,"actual365fixed",,,C34)</f>
        <v>欣[test_bonds.xlsx]AmortizingFloatingRateBond!R66C3YieldTermStructureHandle,A</v>
      </c>
    </row>
    <row r="67" spans="1:3" x14ac:dyDescent="0.25">
      <c r="A67" s="25" t="s">
        <v>162</v>
      </c>
      <c r="B67" s="61">
        <v>5.0000000000000001E-3</v>
      </c>
      <c r="C67" s="62">
        <v>5.0000000000000001E-3</v>
      </c>
    </row>
    <row r="68" spans="1:3" x14ac:dyDescent="0.25">
      <c r="A68" s="25" t="s">
        <v>164</v>
      </c>
      <c r="B68" s="61" t="s">
        <v>167</v>
      </c>
      <c r="C68" s="62" t="s">
        <v>167</v>
      </c>
    </row>
    <row r="69" spans="1:3" x14ac:dyDescent="0.25">
      <c r="A69" s="25" t="s">
        <v>163</v>
      </c>
      <c r="B69" s="61" t="s">
        <v>168</v>
      </c>
      <c r="C69" s="62" t="s">
        <v>168</v>
      </c>
    </row>
    <row r="70" spans="1:3" x14ac:dyDescent="0.25">
      <c r="A70" s="25" t="s">
        <v>165</v>
      </c>
      <c r="B70" s="61" t="s">
        <v>169</v>
      </c>
      <c r="C70" s="62" t="s">
        <v>169</v>
      </c>
    </row>
    <row r="71" spans="1:3" x14ac:dyDescent="0.25">
      <c r="A71" s="25" t="s">
        <v>166</v>
      </c>
      <c r="B71" s="61"/>
      <c r="C71" s="62"/>
    </row>
    <row r="72" spans="1:3" x14ac:dyDescent="0.25">
      <c r="A72" s="28" t="s">
        <v>161</v>
      </c>
      <c r="B72" s="29">
        <f>_xll.qlBondCleanPriceFromZSpread(B34,B66,B67,B68,B69,B70,,B53)</f>
        <v>96.66855780761604</v>
      </c>
      <c r="C72" s="30">
        <f>_xll.qlBondCleanPriceFromZSpread(C34,C66,C67,C68,C69,C70,,C66)</f>
        <v>97.314703257185343</v>
      </c>
    </row>
  </sheetData>
  <mergeCells count="1">
    <mergeCell ref="A5:A7"/>
  </mergeCells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5377-E5EA-48F0-BE68-1C47A2C5C8E6}">
  <dimension ref="A1:C7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4.28515625" customWidth="1"/>
    <col min="2" max="3" width="67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hidden="1" x14ac:dyDescent="0.25">
      <c r="A6" s="21" t="s">
        <v>73</v>
      </c>
      <c r="B6" s="34">
        <v>45665</v>
      </c>
      <c r="C6" s="35">
        <v>45665</v>
      </c>
    </row>
    <row r="7" spans="1:3" hidden="1" x14ac:dyDescent="0.25">
      <c r="A7" s="21" t="s">
        <v>74</v>
      </c>
      <c r="B7" s="34">
        <v>49682</v>
      </c>
      <c r="C7" s="35">
        <v>49682</v>
      </c>
    </row>
    <row r="8" spans="1:3" hidden="1" x14ac:dyDescent="0.25">
      <c r="A8" s="21" t="s">
        <v>46</v>
      </c>
      <c r="B8" s="36" t="s">
        <v>52</v>
      </c>
      <c r="C8" s="37" t="s">
        <v>52</v>
      </c>
    </row>
    <row r="9" spans="1:3" hidden="1" x14ac:dyDescent="0.25">
      <c r="A9" s="21" t="s">
        <v>60</v>
      </c>
      <c r="B9" s="36" t="str">
        <f>_xll.qlCalendar("TARGET")</f>
        <v>TARGET</v>
      </c>
      <c r="C9" s="37" t="str">
        <f>_xll.qlCalendar("TARGET")</f>
        <v>TARGET</v>
      </c>
    </row>
    <row r="10" spans="1:3" hidden="1" x14ac:dyDescent="0.25">
      <c r="A10" s="21" t="s">
        <v>47</v>
      </c>
      <c r="B10" s="36" t="s">
        <v>53</v>
      </c>
      <c r="C10" s="37" t="s">
        <v>53</v>
      </c>
    </row>
    <row r="11" spans="1:3" hidden="1" x14ac:dyDescent="0.25">
      <c r="A11" s="21" t="s">
        <v>75</v>
      </c>
      <c r="B11" s="36" t="s">
        <v>53</v>
      </c>
      <c r="C11" s="37" t="s">
        <v>53</v>
      </c>
    </row>
    <row r="12" spans="1:3" hidden="1" x14ac:dyDescent="0.25">
      <c r="A12" s="21" t="s">
        <v>77</v>
      </c>
      <c r="B12" s="36" t="s">
        <v>79</v>
      </c>
      <c r="C12" s="37" t="s">
        <v>79</v>
      </c>
    </row>
    <row r="13" spans="1:3" hidden="1" x14ac:dyDescent="0.25">
      <c r="A13" s="21" t="s">
        <v>78</v>
      </c>
      <c r="B13" s="36">
        <v>0</v>
      </c>
      <c r="C13" s="37">
        <v>0</v>
      </c>
    </row>
    <row r="14" spans="1:3" x14ac:dyDescent="0.25">
      <c r="A14" s="24" t="s">
        <v>65</v>
      </c>
      <c r="B14" s="22" t="str">
        <f>_xll.qlSchedule(B6,B7,B8,B9,B10,B11,B12,B13)</f>
        <v>欣[test_bonds.xlsx]FloatingRateBond!R14C2Schedule,A</v>
      </c>
      <c r="C14" s="23" t="str">
        <f>_xll.qlSchedule(C6,C7,C8,C9,C10,C11,C12,C13)</f>
        <v>欣[test_bonds.xlsx]FloatingRateBond!R14C3Schedule,A</v>
      </c>
    </row>
    <row r="15" spans="1:3" hidden="1" x14ac:dyDescent="0.25">
      <c r="A15" s="114" t="s">
        <v>55</v>
      </c>
      <c r="B15" s="115" t="str">
        <f>_xll.qlFlatForward(B2,0.03,"actual360","compounded","Quarterly")</f>
        <v>欣[test_bonds.xlsx]FloatingRateBond!R15C2YieldTermStructureHandle,A</v>
      </c>
      <c r="C15" s="116" t="str">
        <f>_xll.qlFlatForward(B2,0.03,"actual360","compounded","Quarterly")</f>
        <v>欣[test_bonds.xlsx]FloatingRateBond!R15C3YieldTermStructureHandle,A</v>
      </c>
    </row>
    <row r="16" spans="1:3" x14ac:dyDescent="0.25">
      <c r="A16" s="24" t="s">
        <v>89</v>
      </c>
      <c r="B16" s="22" t="str">
        <f>_xll.qlEuribor("3M",B15)</f>
        <v>欣[test_bonds.xlsx]FloatingRateBond!R16C2Euribor,A</v>
      </c>
      <c r="C16" s="23" t="str">
        <f>_xll.qlEuribor("3M",C15)</f>
        <v>欣[test_bonds.xlsx]FloatingRateBond!R16C3Euribor,A</v>
      </c>
    </row>
    <row r="17" spans="1:3" x14ac:dyDescent="0.25">
      <c r="A17" s="24" t="s">
        <v>67</v>
      </c>
      <c r="B17" s="22" t="s">
        <v>148</v>
      </c>
      <c r="C17" s="23" t="s">
        <v>148</v>
      </c>
    </row>
    <row r="18" spans="1:3" x14ac:dyDescent="0.25">
      <c r="A18" s="24" t="s">
        <v>84</v>
      </c>
      <c r="B18" s="22"/>
      <c r="C18" s="23" t="s">
        <v>64</v>
      </c>
    </row>
    <row r="19" spans="1:3" x14ac:dyDescent="0.25">
      <c r="A19" s="24" t="s">
        <v>90</v>
      </c>
      <c r="B19" s="22"/>
      <c r="C19" s="23">
        <v>0</v>
      </c>
    </row>
    <row r="20" spans="1:3" x14ac:dyDescent="0.25">
      <c r="A20" s="24" t="s">
        <v>91</v>
      </c>
      <c r="B20" s="22"/>
      <c r="C20" s="23">
        <v>1</v>
      </c>
    </row>
    <row r="21" spans="1:3" x14ac:dyDescent="0.25">
      <c r="A21" s="24" t="s">
        <v>92</v>
      </c>
      <c r="B21" s="22"/>
      <c r="C21" s="23">
        <v>0</v>
      </c>
    </row>
    <row r="22" spans="1:3" x14ac:dyDescent="0.25">
      <c r="A22" s="113" t="s">
        <v>93</v>
      </c>
      <c r="B22" s="22"/>
      <c r="C22" s="23"/>
    </row>
    <row r="23" spans="1:3" x14ac:dyDescent="0.25">
      <c r="A23" s="113" t="s">
        <v>94</v>
      </c>
      <c r="B23" s="22"/>
      <c r="C23" s="23"/>
    </row>
    <row r="24" spans="1:3" x14ac:dyDescent="0.25">
      <c r="A24" s="24" t="s">
        <v>95</v>
      </c>
      <c r="B24" s="22"/>
      <c r="C24" s="23">
        <v>0</v>
      </c>
    </row>
    <row r="25" spans="1:3" x14ac:dyDescent="0.25">
      <c r="A25" s="24" t="s">
        <v>63</v>
      </c>
      <c r="B25" s="22"/>
      <c r="C25" s="23">
        <v>100</v>
      </c>
    </row>
    <row r="26" spans="1:3" x14ac:dyDescent="0.25">
      <c r="A26" s="24" t="s">
        <v>17</v>
      </c>
      <c r="B26" s="22"/>
      <c r="C26" s="42">
        <v>45663</v>
      </c>
    </row>
    <row r="27" spans="1:3" x14ac:dyDescent="0.25">
      <c r="A27" s="24" t="s">
        <v>69</v>
      </c>
      <c r="B27" s="22"/>
      <c r="C27" s="23" t="s">
        <v>76</v>
      </c>
    </row>
    <row r="28" spans="1:3" x14ac:dyDescent="0.25">
      <c r="A28" s="24" t="s">
        <v>70</v>
      </c>
      <c r="B28" s="22"/>
      <c r="C28" s="23" t="str">
        <f>_xll.qlCalendar("TARGET")</f>
        <v>TARGET</v>
      </c>
    </row>
    <row r="29" spans="1:3" x14ac:dyDescent="0.25">
      <c r="A29" s="24" t="s">
        <v>71</v>
      </c>
      <c r="B29" s="22"/>
      <c r="C29" s="23" t="s">
        <v>53</v>
      </c>
    </row>
    <row r="30" spans="1:3" x14ac:dyDescent="0.25">
      <c r="A30" s="24" t="s">
        <v>72</v>
      </c>
      <c r="B30" s="22"/>
      <c r="C30" s="23">
        <v>1</v>
      </c>
    </row>
    <row r="31" spans="1:3" x14ac:dyDescent="0.25">
      <c r="A31" s="24" t="s">
        <v>210</v>
      </c>
      <c r="B31" s="22"/>
      <c r="C31" s="23" t="s">
        <v>211</v>
      </c>
    </row>
    <row r="32" spans="1:3" x14ac:dyDescent="0.25">
      <c r="A32" s="43" t="s">
        <v>98</v>
      </c>
      <c r="B32" s="30" t="str">
        <f>_xll.qlFloatingRateBond(B4,B5,B14,B16,B17,,,,,,,,,,,,,,,B2)</f>
        <v>欣[test_bonds.xlsx]FloatingRateBond!R32C2FloatingRateBond,A</v>
      </c>
      <c r="C32" s="30" t="str">
        <f>_xll.qlFloatingRateBond(C4,C5,C14,C16,C17,C18,C19,C20,C21,C22,C23,C24,C25,C26,C27,C28,C29,C30,C31,B2)</f>
        <v>欣[test_bonds.xlsx]FloatingRateBond!R32C3FloatingRateBond,A</v>
      </c>
    </row>
    <row r="33" spans="1:3" x14ac:dyDescent="0.25">
      <c r="A33" s="92" t="s">
        <v>20</v>
      </c>
      <c r="B33" s="19">
        <f>_xll.qlBondNextCouponRate(B32,,B32)</f>
        <v>3.0348052211436018E-2</v>
      </c>
      <c r="C33" s="20">
        <f>_xll.qlBondNextCouponRate(C32,,C32)</f>
        <v>3.0348052211436018E-2</v>
      </c>
    </row>
    <row r="34" spans="1:3" x14ac:dyDescent="0.25">
      <c r="A34" s="69" t="s">
        <v>21</v>
      </c>
      <c r="B34" s="67">
        <f>_xll.qlBondPreviousCouponRate(B32,,B32)</f>
        <v>0</v>
      </c>
      <c r="C34" s="68">
        <f>_xll.qlBondPreviousCouponRate(C32,,C32)</f>
        <v>0</v>
      </c>
    </row>
    <row r="35" spans="1:3" x14ac:dyDescent="0.25">
      <c r="A35" s="26" t="s">
        <v>22</v>
      </c>
      <c r="B35" s="41">
        <f>_xll.qlBondNextCashFlowDate(B32,,B32)</f>
        <v>46030</v>
      </c>
      <c r="C35" s="42">
        <f>_xll.qlBondNextCashFlowDate(C32,,C32)</f>
        <v>46030</v>
      </c>
    </row>
    <row r="36" spans="1:3" x14ac:dyDescent="0.25">
      <c r="A36" s="93" t="s">
        <v>23</v>
      </c>
      <c r="B36" s="94">
        <f>_xll.qlBondPreviousCashFlowDate(B32,,B32)</f>
        <v>0</v>
      </c>
      <c r="C36" s="87">
        <f>_xll.qlBondPreviousCashFlowDate(C32,,C32)</f>
        <v>0</v>
      </c>
    </row>
    <row r="37" spans="1:3" x14ac:dyDescent="0.25">
      <c r="A37" s="93" t="s">
        <v>24</v>
      </c>
      <c r="B37" s="22">
        <f>_xll.qlBondSettlementDays(B32,B32)</f>
        <v>2</v>
      </c>
      <c r="C37" s="23">
        <f>_xll.qlBondSettlementDays(C32,C32)</f>
        <v>2</v>
      </c>
    </row>
    <row r="38" spans="1:3" x14ac:dyDescent="0.25">
      <c r="A38" s="93" t="s">
        <v>25</v>
      </c>
      <c r="B38" s="94">
        <f>_xll.qlBondSettlementDate(B32,,B32)</f>
        <v>45663</v>
      </c>
      <c r="C38" s="87">
        <f>_xll.qlBondSettlementDate(C32,,C32)</f>
        <v>45663</v>
      </c>
    </row>
    <row r="39" spans="1:3" x14ac:dyDescent="0.25">
      <c r="A39" s="26" t="s">
        <v>26</v>
      </c>
      <c r="B39" s="22" t="b">
        <f>_xll.qlBondIsTradable(B32,,B32)</f>
        <v>1</v>
      </c>
      <c r="C39" s="23" t="b">
        <f>_xll.qlBondIsTradable(C32,,C32)</f>
        <v>1</v>
      </c>
    </row>
    <row r="40" spans="1:3" x14ac:dyDescent="0.25">
      <c r="A40" s="69" t="s">
        <v>27</v>
      </c>
      <c r="B40" s="94">
        <f>_xll.qlBondStartDate(B32,B32)</f>
        <v>45665</v>
      </c>
      <c r="C40" s="87">
        <f>_xll.qlBondStartDate(C32,C32)</f>
        <v>45665</v>
      </c>
    </row>
    <row r="41" spans="1:3" x14ac:dyDescent="0.25">
      <c r="A41" s="93" t="s">
        <v>28</v>
      </c>
      <c r="B41" s="41">
        <f>_xll.qlBondMaturityDate(B32,B32)</f>
        <v>49682</v>
      </c>
      <c r="C41" s="42">
        <f>_xll.qlBondMaturityDate(C32,C32)</f>
        <v>49682</v>
      </c>
    </row>
    <row r="42" spans="1:3" x14ac:dyDescent="0.25">
      <c r="A42" s="95" t="s">
        <v>29</v>
      </c>
      <c r="B42" s="67">
        <f>_xll.qlBondIssueDate(B32,B32)</f>
        <v>0</v>
      </c>
      <c r="C42" s="87">
        <f>_xll.qlBondIssueDate(C32,C32)</f>
        <v>45663</v>
      </c>
    </row>
    <row r="43" spans="1:3" x14ac:dyDescent="0.25">
      <c r="A43" s="26" t="s">
        <v>30</v>
      </c>
      <c r="B43" s="22" t="str">
        <f>_xll.qlBondCashFlows(B32,B32)</f>
        <v>欣[test_bonds.xlsx]FloatingRateBond!R43C2CashFlow,A</v>
      </c>
      <c r="C43" s="23" t="str">
        <f>_xll.qlBondCashFlows(C32,C32)</f>
        <v>欣[test_bonds.xlsx]FloatingRateBond!R43C3CashFlow,A</v>
      </c>
    </row>
    <row r="44" spans="1:3" x14ac:dyDescent="0.25">
      <c r="A44" s="69" t="s">
        <v>57</v>
      </c>
      <c r="B44" s="67" t="str">
        <f>_xll.qlBondRedemption(B32,B32)</f>
        <v>欣[test_bonds.xlsx]FloatingRateBond!R44C2CashFlow,A</v>
      </c>
      <c r="C44" s="68" t="str">
        <f>_xll.qlBondRedemption(C32,C32)</f>
        <v>欣[test_bonds.xlsx]FloatingRateBond!R44C3CashFlow,A</v>
      </c>
    </row>
    <row r="45" spans="1:3" x14ac:dyDescent="0.25">
      <c r="A45" s="93" t="s">
        <v>58</v>
      </c>
      <c r="B45" s="22" t="str">
        <f>_xll.qlBondRedemptions(B32,B32)</f>
        <v>欣[test_bonds.xlsx]FloatingRateBond!R45C2CashFlow,A</v>
      </c>
      <c r="C45" s="23" t="str">
        <f>_xll.qlBondRedemptions(C32,C32)</f>
        <v>欣[test_bonds.xlsx]FloatingRateBond!R45C3CashFlow,A</v>
      </c>
    </row>
    <row r="46" spans="1:3" x14ac:dyDescent="0.25">
      <c r="A46" s="69" t="s">
        <v>31</v>
      </c>
      <c r="B46" s="67" t="str">
        <f>_xll.qlBondCalendar(B32,B32)</f>
        <v>TARGET</v>
      </c>
      <c r="C46" s="68" t="str">
        <f>_xll.qlBondCalendar(C32,C32)</f>
        <v>TARGET</v>
      </c>
    </row>
    <row r="47" spans="1:3" x14ac:dyDescent="0.25">
      <c r="A47" s="26" t="s">
        <v>32</v>
      </c>
      <c r="B47" s="22">
        <f>_xll.qlBondNotional(B32)</f>
        <v>100</v>
      </c>
      <c r="C47" s="23">
        <f>_xll.qlBondNotional(C32)</f>
        <v>100</v>
      </c>
    </row>
    <row r="48" spans="1:3" x14ac:dyDescent="0.25">
      <c r="A48" s="50" t="s">
        <v>59</v>
      </c>
      <c r="B48" s="67">
        <f>_xll.qlBondNotionals(B32:B32)</f>
        <v>100</v>
      </c>
      <c r="C48" s="68">
        <f>_xll.qlBondNotionals(C32:C32)</f>
        <v>100</v>
      </c>
    </row>
    <row r="49" spans="1:3" x14ac:dyDescent="0.25">
      <c r="A49" s="45" t="s">
        <v>55</v>
      </c>
      <c r="B49" s="19" t="str">
        <f>_xll.qlFlatForward($B$1,0.03,"actual360","compounded","Annual",B32)</f>
        <v>欣[test_bonds.xlsx]FloatingRateBond!R49C2YieldTermStructureHandle,A</v>
      </c>
      <c r="C49" s="20" t="str">
        <f>_xll.qlFlatForward($B$1,0.03,"actual360","compounded","Annual",C32)</f>
        <v>欣[test_bonds.xlsx]FloatingRateBond!R49C3YieldTermStructureHandle,A</v>
      </c>
    </row>
    <row r="50" spans="1:3" x14ac:dyDescent="0.25">
      <c r="A50" s="26" t="s">
        <v>150</v>
      </c>
      <c r="B50" s="22" t="str">
        <f>_xll.qlDiscountingBondEngine(B49,B49)</f>
        <v>欣[test_bonds.xlsx]FloatingRateBond!R50C2DiscountingBondEngine,A</v>
      </c>
      <c r="C50" s="23" t="str">
        <f>_xll.qlDiscountingBondEngine(C49,C49)</f>
        <v>欣[test_bonds.xlsx]FloatingRateBond!R50C3DiscountingBondEngine,A</v>
      </c>
    </row>
    <row r="51" spans="1:3" x14ac:dyDescent="0.25">
      <c r="A51" s="89" t="s">
        <v>151</v>
      </c>
      <c r="B51" s="22" t="b">
        <f>_xll.qlInstrumentSetPricingEngine(B32,B50,B50)</f>
        <v>1</v>
      </c>
      <c r="C51" s="23" t="b">
        <f>_xll.qlInstrumentSetPricingEngine(C32,C50,C50)</f>
        <v>1</v>
      </c>
    </row>
    <row r="52" spans="1:3" x14ac:dyDescent="0.25">
      <c r="A52" s="26" t="s">
        <v>33</v>
      </c>
      <c r="B52" s="48">
        <f>_xll.qlBondCleanPrice(B32,B51)</f>
        <v>99.897484220375603</v>
      </c>
      <c r="C52" s="49">
        <f>_xll.qlBondCleanPrice(C32,C51)</f>
        <v>99.897484220375603</v>
      </c>
    </row>
    <row r="53" spans="1:3" x14ac:dyDescent="0.25">
      <c r="A53" s="45" t="s">
        <v>56</v>
      </c>
      <c r="B53" s="46">
        <v>2.9558800538580478E-2</v>
      </c>
      <c r="C53" s="47">
        <v>2.9558800538580478E-2</v>
      </c>
    </row>
    <row r="54" spans="1:3" x14ac:dyDescent="0.25">
      <c r="A54" s="28" t="s">
        <v>34</v>
      </c>
      <c r="B54" s="48">
        <f>_xll.qlBondCleanPrice2(B32,B53,"actual360","continuous",,,B51)</f>
        <v>99.897485863285922</v>
      </c>
      <c r="C54" s="49">
        <f>_xll.qlBondCleanPrice2(C32,C53,"actual360","continuous",,,C51)</f>
        <v>99.897485863285922</v>
      </c>
    </row>
    <row r="55" spans="1:3" x14ac:dyDescent="0.25">
      <c r="A55" s="26" t="s">
        <v>35</v>
      </c>
      <c r="B55" s="61">
        <f>_xll.qlBondDirtyPrice(B32,B51)</f>
        <v>99.897484220375603</v>
      </c>
      <c r="C55" s="62">
        <f>_xll.qlBondDirtyPrice(C32,C51)</f>
        <v>99.897484220375603</v>
      </c>
    </row>
    <row r="56" spans="1:3" x14ac:dyDescent="0.25">
      <c r="A56" s="50" t="s">
        <v>36</v>
      </c>
      <c r="B56" s="51">
        <f>_xll.qlBondDirtyPrice2(B32,B53,"actual360","CONTINUOUS","annual",,B51)</f>
        <v>99.897485863285922</v>
      </c>
      <c r="C56" s="52">
        <f>_xll.qlBondDirtyPrice2(C32,C53,"actual360","CONTINUOUS","annual",,C51)</f>
        <v>99.897485863285922</v>
      </c>
    </row>
    <row r="57" spans="1:3" x14ac:dyDescent="0.25">
      <c r="A57" s="26" t="s">
        <v>37</v>
      </c>
      <c r="B57" s="61">
        <f>_xll.qlBondYield(B32,"actual360","CONTINUOUS","annual",,,B51)</f>
        <v>2.9558802241544408E-2</v>
      </c>
      <c r="C57" s="62">
        <f>_xll.qlBondYield(C32,"actual360","CONTINUOUS","annual",,,C51)</f>
        <v>2.9558802241544408E-2</v>
      </c>
    </row>
    <row r="58" spans="1:3" x14ac:dyDescent="0.25">
      <c r="A58" s="25" t="s">
        <v>120</v>
      </c>
      <c r="B58" s="46" t="str">
        <f>_xll.qlBondPrice(B52,"clean",B52)</f>
        <v>欣[test_bonds.xlsx]FloatingRateBond!R58C2BondPrice,A</v>
      </c>
      <c r="C58" s="47" t="str">
        <f>_xll.qlBondPrice(C52,"clean",C52)</f>
        <v>欣[test_bonds.xlsx]FloatingRateBond!R58C3BondPrice,A</v>
      </c>
    </row>
    <row r="59" spans="1:3" x14ac:dyDescent="0.25">
      <c r="A59" s="26" t="s">
        <v>38</v>
      </c>
      <c r="B59" s="48">
        <f>_xll.qlBondYield2(B32,B58,"actual360","CONTINUOUS","annual",,,,,B58)</f>
        <v>2.9558802241544408E-2</v>
      </c>
      <c r="C59" s="49">
        <f>_xll.qlBondYield2(C32,C58,"actual360","CONTINUOUS","annual",,,,,C58)</f>
        <v>2.9558802241544408E-2</v>
      </c>
    </row>
    <row r="60" spans="1:3" x14ac:dyDescent="0.25">
      <c r="A60" s="25" t="s">
        <v>54</v>
      </c>
      <c r="B60" s="39">
        <v>45667</v>
      </c>
      <c r="C60" s="40">
        <v>45667</v>
      </c>
    </row>
    <row r="61" spans="1:3" x14ac:dyDescent="0.25">
      <c r="A61" s="26" t="s">
        <v>39</v>
      </c>
      <c r="B61" s="48">
        <f>_xll.qlBondAccruedAmount(B32,B60,B51)</f>
        <v>1.6860029006353344E-2</v>
      </c>
      <c r="C61" s="49">
        <f>_xll.qlBondAccruedAmount(C32,C60,C51)</f>
        <v>1.6860029006353344E-2</v>
      </c>
    </row>
    <row r="62" spans="1:3" x14ac:dyDescent="0.25">
      <c r="A62" s="50" t="s">
        <v>40</v>
      </c>
      <c r="B62" s="61">
        <f>_xll.qlBondSettlementValue(B32,B51)</f>
        <v>99.897484220375617</v>
      </c>
      <c r="C62" s="62">
        <f>_xll.qlBondSettlementValue(C32,C51)</f>
        <v>99.897484220375617</v>
      </c>
    </row>
    <row r="63" spans="1:3" x14ac:dyDescent="0.25">
      <c r="A63" s="26" t="s">
        <v>41</v>
      </c>
      <c r="B63" s="51">
        <f>_xll.qlBondSettlementValue2(B32,B52)</f>
        <v>99.897484220375603</v>
      </c>
      <c r="C63" s="52">
        <f>_xll.qlBondSettlementValue2(C32,C52)</f>
        <v>99.897484220375603</v>
      </c>
    </row>
    <row r="64" spans="1:3" x14ac:dyDescent="0.25">
      <c r="A64" s="45" t="s">
        <v>153</v>
      </c>
      <c r="B64" s="46" t="str">
        <f>_xll.qlFlatForward($B$1,0.03,"actual365fixed",,,B32)</f>
        <v>欣[test_bonds.xlsx]FloatingRateBond!R64C2YieldTermStructureHandle,A</v>
      </c>
      <c r="C64" s="47" t="str">
        <f>_xll.qlFlatForward($B$1,0.03,"actual365fixed",,,C32)</f>
        <v>欣[test_bonds.xlsx]FloatingRateBond!R64C3YieldTermStructureHandle,A</v>
      </c>
    </row>
    <row r="65" spans="1:3" x14ac:dyDescent="0.25">
      <c r="A65" s="25" t="s">
        <v>162</v>
      </c>
      <c r="B65" s="61">
        <v>5.0000000000000001E-3</v>
      </c>
      <c r="C65" s="62">
        <v>5.0000000000000001E-3</v>
      </c>
    </row>
    <row r="66" spans="1:3" x14ac:dyDescent="0.25">
      <c r="A66" s="25" t="s">
        <v>164</v>
      </c>
      <c r="B66" s="61" t="s">
        <v>167</v>
      </c>
      <c r="C66" s="62" t="s">
        <v>167</v>
      </c>
    </row>
    <row r="67" spans="1:3" x14ac:dyDescent="0.25">
      <c r="A67" s="25" t="s">
        <v>163</v>
      </c>
      <c r="B67" s="61" t="s">
        <v>168</v>
      </c>
      <c r="C67" s="62" t="s">
        <v>168</v>
      </c>
    </row>
    <row r="68" spans="1:3" x14ac:dyDescent="0.25">
      <c r="A68" s="25" t="s">
        <v>165</v>
      </c>
      <c r="B68" s="61" t="s">
        <v>169</v>
      </c>
      <c r="C68" s="62" t="s">
        <v>169</v>
      </c>
    </row>
    <row r="69" spans="1:3" x14ac:dyDescent="0.25">
      <c r="A69" s="25" t="s">
        <v>166</v>
      </c>
      <c r="B69" s="61"/>
      <c r="C69" s="62"/>
    </row>
    <row r="70" spans="1:3" x14ac:dyDescent="0.25">
      <c r="A70" s="28" t="s">
        <v>161</v>
      </c>
      <c r="B70" s="29">
        <f>_xll.qlBondCleanPriceFromZSpread(B32,B64,B65,B66,B67,B68,,B64)</f>
        <v>95.378021304374883</v>
      </c>
      <c r="C70" s="30">
        <f>_xll.qlBondCleanPriceFromZSpread(C32,C64,C65,C66,C67,C68,,C64)</f>
        <v>95.378021304374883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5A30-3B44-433D-8DBF-ACC4ED7765FD}">
  <dimension ref="A1:C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6.140625" customWidth="1"/>
    <col min="2" max="3" width="63.5703125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x14ac:dyDescent="0.25">
      <c r="A6" s="31" t="s">
        <v>73</v>
      </c>
      <c r="B6" s="32">
        <v>45665</v>
      </c>
      <c r="C6" s="33">
        <v>45665</v>
      </c>
    </row>
    <row r="7" spans="1:3" x14ac:dyDescent="0.25">
      <c r="A7" s="21" t="s">
        <v>74</v>
      </c>
      <c r="B7" s="34">
        <v>49682</v>
      </c>
      <c r="C7" s="35">
        <v>49682</v>
      </c>
    </row>
    <row r="8" spans="1:3" x14ac:dyDescent="0.25">
      <c r="A8" s="21" t="s">
        <v>46</v>
      </c>
      <c r="B8" s="36" t="s">
        <v>52</v>
      </c>
      <c r="C8" s="37" t="s">
        <v>52</v>
      </c>
    </row>
    <row r="9" spans="1:3" x14ac:dyDescent="0.25">
      <c r="A9" s="21" t="s">
        <v>60</v>
      </c>
      <c r="B9" s="36" t="str">
        <f>_xll.qlCalendar("TARGET")</f>
        <v>TARGET</v>
      </c>
      <c r="C9" s="37" t="str">
        <f>_xll.qlCalendar("TARGET")</f>
        <v>TARGET</v>
      </c>
    </row>
    <row r="10" spans="1:3" x14ac:dyDescent="0.25">
      <c r="A10" s="21" t="s">
        <v>47</v>
      </c>
      <c r="B10" s="36" t="s">
        <v>53</v>
      </c>
      <c r="C10" s="37" t="s">
        <v>53</v>
      </c>
    </row>
    <row r="11" spans="1:3" x14ac:dyDescent="0.25">
      <c r="A11" s="21" t="s">
        <v>75</v>
      </c>
      <c r="B11" s="36" t="s">
        <v>53</v>
      </c>
      <c r="C11" s="37" t="s">
        <v>53</v>
      </c>
    </row>
    <row r="12" spans="1:3" x14ac:dyDescent="0.25">
      <c r="A12" s="21" t="s">
        <v>77</v>
      </c>
      <c r="B12" s="36" t="s">
        <v>79</v>
      </c>
      <c r="C12" s="37" t="s">
        <v>79</v>
      </c>
    </row>
    <row r="13" spans="1:3" x14ac:dyDescent="0.25">
      <c r="A13" s="21" t="s">
        <v>78</v>
      </c>
      <c r="B13" s="36">
        <v>0</v>
      </c>
      <c r="C13" s="37">
        <v>0</v>
      </c>
    </row>
    <row r="14" spans="1:3" x14ac:dyDescent="0.25">
      <c r="A14" s="38" t="s">
        <v>65</v>
      </c>
      <c r="B14" s="29" t="str">
        <f>_xll.qlSchedule(B6,B7,B8,B9,B10,B11,B12,B13,,,B2)</f>
        <v>欣[test_bonds.xlsx]CmsRateBond!R14C2Schedule,A</v>
      </c>
      <c r="C14" s="30" t="str">
        <f>_xll.qlSchedule(C6,C7,C8,C9,C10,C11,C12,C13,,,C2)</f>
        <v>欣[test_bonds.xlsx]CmsRateBond!R14C3Schedule,A</v>
      </c>
    </row>
    <row r="15" spans="1:3" x14ac:dyDescent="0.25">
      <c r="A15" s="110" t="s">
        <v>101</v>
      </c>
      <c r="B15" s="100" t="s">
        <v>102</v>
      </c>
      <c r="C15" s="101" t="s">
        <v>102</v>
      </c>
    </row>
    <row r="16" spans="1:3" x14ac:dyDescent="0.25">
      <c r="A16" s="114" t="s">
        <v>46</v>
      </c>
      <c r="B16" s="36" t="s">
        <v>76</v>
      </c>
      <c r="C16" s="37" t="s">
        <v>76</v>
      </c>
    </row>
    <row r="17" spans="1:3" x14ac:dyDescent="0.25">
      <c r="A17" s="114" t="s">
        <v>14</v>
      </c>
      <c r="B17" s="36">
        <v>2</v>
      </c>
      <c r="C17" s="37">
        <v>2</v>
      </c>
    </row>
    <row r="18" spans="1:3" x14ac:dyDescent="0.25">
      <c r="A18" s="114" t="s">
        <v>103</v>
      </c>
      <c r="B18" s="36" t="s">
        <v>104</v>
      </c>
      <c r="C18" s="37" t="s">
        <v>104</v>
      </c>
    </row>
    <row r="19" spans="1:3" x14ac:dyDescent="0.25">
      <c r="A19" s="114" t="s">
        <v>60</v>
      </c>
      <c r="B19" s="36" t="str">
        <f>_xll.qlCalendar("TARGET")</f>
        <v>TARGET</v>
      </c>
      <c r="C19" s="37" t="str">
        <f>_xll.qlCalendar("TARGET")</f>
        <v>TARGET</v>
      </c>
    </row>
    <row r="20" spans="1:3" x14ac:dyDescent="0.25">
      <c r="A20" s="114" t="s">
        <v>105</v>
      </c>
      <c r="B20" s="36" t="s">
        <v>52</v>
      </c>
      <c r="C20" s="37" t="s">
        <v>52</v>
      </c>
    </row>
    <row r="21" spans="1:3" x14ac:dyDescent="0.25">
      <c r="A21" s="114" t="s">
        <v>106</v>
      </c>
      <c r="B21" s="36" t="s">
        <v>64</v>
      </c>
      <c r="C21" s="37" t="s">
        <v>64</v>
      </c>
    </row>
    <row r="22" spans="1:3" x14ac:dyDescent="0.25">
      <c r="A22" s="114" t="s">
        <v>107</v>
      </c>
      <c r="B22" s="36" t="s">
        <v>108</v>
      </c>
      <c r="C22" s="37" t="s">
        <v>108</v>
      </c>
    </row>
    <row r="23" spans="1:3" x14ac:dyDescent="0.25">
      <c r="A23" s="114" t="s">
        <v>109</v>
      </c>
      <c r="B23" s="36" t="str">
        <f>_xll.qlEuribor("3M")</f>
        <v>欣[test_bonds.xlsx]CmsRateBond!R23C2Euribor,A</v>
      </c>
      <c r="C23" s="37" t="str">
        <f>_xll.qlEuribor("3M")</f>
        <v>欣[test_bonds.xlsx]CmsRateBond!R23C3Euribor,A</v>
      </c>
    </row>
    <row r="24" spans="1:3" x14ac:dyDescent="0.25">
      <c r="A24" s="114" t="s">
        <v>110</v>
      </c>
      <c r="B24" s="36" t="str">
        <f>_xll.qlFlatForward(B2,0.03,"Actual360","Compounded","Quarterly",B14)</f>
        <v>欣[test_bonds.xlsx]CmsRateBond!R24C2YieldTermStructureHandle,A</v>
      </c>
      <c r="C24" s="37" t="str">
        <f>_xll.qlFlatForward(C2,0.03,"Actual360","Compounded","Quarterly",C14)</f>
        <v>欣[test_bonds.xlsx]CmsRateBond!R24C3YieldTermStructureHandle,A</v>
      </c>
    </row>
    <row r="25" spans="1:3" x14ac:dyDescent="0.25">
      <c r="A25" s="38" t="s">
        <v>100</v>
      </c>
      <c r="B25" s="29" t="str">
        <f>_xll.qlSwapIndex(B15,B16,B17,B18,B19,B20,B21,B22,B23,B24,B24)</f>
        <v>欣[test_bonds.xlsx]CmsRateBond!R25C2SwapIndex,A</v>
      </c>
      <c r="C25" s="30" t="str">
        <f>_xll.qlSwapIndex(C15,C16,C17,C18,C19,C20,C21,C22,C23,C24,C24)</f>
        <v>欣[test_bonds.xlsx]CmsRateBond!R25C3SwapIndex,A</v>
      </c>
    </row>
    <row r="26" spans="1:3" x14ac:dyDescent="0.25">
      <c r="A26" s="24" t="s">
        <v>67</v>
      </c>
      <c r="B26" s="22" t="s">
        <v>148</v>
      </c>
      <c r="C26" s="23" t="s">
        <v>148</v>
      </c>
    </row>
    <row r="27" spans="1:3" x14ac:dyDescent="0.25">
      <c r="A27" s="24" t="s">
        <v>84</v>
      </c>
      <c r="B27" s="22" t="s">
        <v>64</v>
      </c>
      <c r="C27" s="23" t="s">
        <v>64</v>
      </c>
    </row>
    <row r="28" spans="1:3" x14ac:dyDescent="0.25">
      <c r="A28" s="24" t="s">
        <v>90</v>
      </c>
      <c r="B28" s="22">
        <v>2</v>
      </c>
      <c r="C28" s="23">
        <v>2</v>
      </c>
    </row>
    <row r="29" spans="1:3" x14ac:dyDescent="0.25">
      <c r="A29" s="113" t="s">
        <v>91</v>
      </c>
      <c r="B29" s="22">
        <v>0</v>
      </c>
      <c r="C29" s="23">
        <v>0</v>
      </c>
    </row>
    <row r="30" spans="1:3" x14ac:dyDescent="0.25">
      <c r="A30" s="24" t="s">
        <v>92</v>
      </c>
      <c r="B30" s="22">
        <v>3.0000000000000001E-3</v>
      </c>
      <c r="C30" s="23">
        <v>3.0000000000000001E-3</v>
      </c>
    </row>
    <row r="31" spans="1:3" x14ac:dyDescent="0.25">
      <c r="A31" s="25" t="s">
        <v>93</v>
      </c>
      <c r="B31" s="22">
        <v>0</v>
      </c>
      <c r="C31" s="23">
        <v>0</v>
      </c>
    </row>
    <row r="32" spans="1:3" x14ac:dyDescent="0.25">
      <c r="A32" s="25" t="s">
        <v>94</v>
      </c>
      <c r="B32" s="22">
        <v>0</v>
      </c>
      <c r="C32" s="23">
        <v>0</v>
      </c>
    </row>
    <row r="33" spans="1:3" x14ac:dyDescent="0.25">
      <c r="A33" s="24" t="s">
        <v>95</v>
      </c>
      <c r="B33" s="22"/>
      <c r="C33" s="23">
        <v>1</v>
      </c>
    </row>
    <row r="34" spans="1:3" x14ac:dyDescent="0.25">
      <c r="A34" s="24" t="s">
        <v>63</v>
      </c>
      <c r="B34" s="22"/>
      <c r="C34" s="23">
        <v>120</v>
      </c>
    </row>
    <row r="35" spans="1:3" x14ac:dyDescent="0.25">
      <c r="A35" s="24" t="s">
        <v>17</v>
      </c>
      <c r="B35" s="22"/>
      <c r="C35" s="42">
        <v>45663</v>
      </c>
    </row>
    <row r="36" spans="1:3" x14ac:dyDescent="0.25">
      <c r="A36" s="43" t="s">
        <v>99</v>
      </c>
      <c r="B36" s="29" t="str">
        <f>_xll.qlCmsRateBond(B4,B5,B14,B25,B26,B27,B28,B29,B30,B31,B32,,,,B25)</f>
        <v>欣[test_bonds.xlsx]CmsRateBond!R36C2CmsRateBond,A</v>
      </c>
      <c r="C36" s="30" t="str">
        <f>_xll.qlCmsRateBond(C4,C5,C14,C25,C26,C27,C28,C29,C30,C31,C32,C33,C34,C35,C25)</f>
        <v>欣[test_bonds.xlsx]CmsRateBond!R36C3CmsRateBond,A</v>
      </c>
    </row>
    <row r="37" spans="1:3" x14ac:dyDescent="0.25">
      <c r="A37" s="92" t="s">
        <v>20</v>
      </c>
      <c r="B37" s="19">
        <f>_xll.qlBondNextCouponRate(B36,,B36)</f>
        <v>0</v>
      </c>
      <c r="C37" s="20">
        <f>_xll.qlBondNextCouponRate(C36,,C36)</f>
        <v>0</v>
      </c>
    </row>
    <row r="38" spans="1:3" x14ac:dyDescent="0.25">
      <c r="A38" s="69" t="s">
        <v>21</v>
      </c>
      <c r="B38" s="67">
        <f>_xll.qlBondPreviousCouponRate(B36,,B36)</f>
        <v>0</v>
      </c>
      <c r="C38" s="68">
        <f>_xll.qlBondPreviousCouponRate(C36,,C36)</f>
        <v>0</v>
      </c>
    </row>
    <row r="39" spans="1:3" x14ac:dyDescent="0.25">
      <c r="A39" s="26" t="s">
        <v>22</v>
      </c>
      <c r="B39" s="41">
        <f>_xll.qlBondNextCashFlowDate(B36,,B36)</f>
        <v>46030</v>
      </c>
      <c r="C39" s="42">
        <f>_xll.qlBondNextCashFlowDate(C36,,C36)</f>
        <v>46030</v>
      </c>
    </row>
    <row r="40" spans="1:3" x14ac:dyDescent="0.25">
      <c r="A40" s="69" t="s">
        <v>23</v>
      </c>
      <c r="B40" s="94">
        <f>_xll.qlBondPreviousCashFlowDate(B36,,B36)</f>
        <v>0</v>
      </c>
      <c r="C40" s="87">
        <f>_xll.qlBondPreviousCashFlowDate(C36,,C36)</f>
        <v>0</v>
      </c>
    </row>
    <row r="41" spans="1:3" x14ac:dyDescent="0.25">
      <c r="A41" s="93" t="s">
        <v>24</v>
      </c>
      <c r="B41" s="22">
        <f>_xll.qlBondSettlementDays(B36,B36)</f>
        <v>2</v>
      </c>
      <c r="C41" s="23">
        <f>_xll.qlBondSettlementDays(C36,C36)</f>
        <v>2</v>
      </c>
    </row>
    <row r="42" spans="1:3" x14ac:dyDescent="0.25">
      <c r="A42" s="69" t="s">
        <v>25</v>
      </c>
      <c r="B42" s="94">
        <f>_xll.qlBondSettlementDate(B36,,B36)</f>
        <v>45663</v>
      </c>
      <c r="C42" s="87">
        <f>_xll.qlBondSettlementDate(C36,,C36)</f>
        <v>45663</v>
      </c>
    </row>
    <row r="43" spans="1:3" x14ac:dyDescent="0.25">
      <c r="A43" s="26" t="s">
        <v>26</v>
      </c>
      <c r="B43" s="22" t="b">
        <f>_xll.qlBondIsTradable(B36,,B36)</f>
        <v>1</v>
      </c>
      <c r="C43" s="23" t="b">
        <f>_xll.qlBondIsTradable(C36,,C36)</f>
        <v>1</v>
      </c>
    </row>
    <row r="44" spans="1:3" x14ac:dyDescent="0.25">
      <c r="A44" s="69" t="s">
        <v>27</v>
      </c>
      <c r="B44" s="94">
        <f>_xll.qlBondStartDate(B36,B36)</f>
        <v>45665</v>
      </c>
      <c r="C44" s="87">
        <f>_xll.qlBondStartDate(C36,C36)</f>
        <v>45665</v>
      </c>
    </row>
    <row r="45" spans="1:3" x14ac:dyDescent="0.25">
      <c r="A45" s="93" t="s">
        <v>28</v>
      </c>
      <c r="B45" s="41">
        <f>_xll.qlBondMaturityDate(B36,B36)</f>
        <v>49682</v>
      </c>
      <c r="C45" s="42">
        <f>_xll.qlBondMaturityDate(C36,C36)</f>
        <v>49682</v>
      </c>
    </row>
    <row r="46" spans="1:3" x14ac:dyDescent="0.25">
      <c r="A46" s="69" t="s">
        <v>29</v>
      </c>
      <c r="B46" s="67">
        <f>_xll.qlBondIssueDate(B36,B36)</f>
        <v>0</v>
      </c>
      <c r="C46" s="68">
        <f>_xll.qlBondIssueDate(C36,C36)</f>
        <v>45663</v>
      </c>
    </row>
    <row r="47" spans="1:3" x14ac:dyDescent="0.25">
      <c r="A47" s="26" t="s">
        <v>30</v>
      </c>
      <c r="B47" s="22" t="str">
        <f>_xll.qlBondCashFlows(B36,B36)</f>
        <v>欣[test_bonds.xlsx]CmsRateBond!R47C2CashFlow,A</v>
      </c>
      <c r="C47" s="23" t="str">
        <f>_xll.qlBondCashFlows(C36,C36)</f>
        <v>欣[test_bonds.xlsx]CmsRateBond!R47C3CashFlow,A</v>
      </c>
    </row>
    <row r="48" spans="1:3" x14ac:dyDescent="0.25">
      <c r="A48" s="69" t="s">
        <v>57</v>
      </c>
      <c r="B48" s="67" t="str">
        <f>_xll.qlBondRedemption(B36,B36)</f>
        <v>欣[test_bonds.xlsx]CmsRateBond!R48C2CashFlow,A</v>
      </c>
      <c r="C48" s="68" t="str">
        <f>_xll.qlBondRedemption(C36,C36)</f>
        <v>欣[test_bonds.xlsx]CmsRateBond!R48C3CashFlow,A</v>
      </c>
    </row>
    <row r="49" spans="1:3" x14ac:dyDescent="0.25">
      <c r="A49" s="93" t="s">
        <v>58</v>
      </c>
      <c r="B49" s="22" t="str">
        <f>_xll.qlBondRedemptions(B36,B36)</f>
        <v>欣[test_bonds.xlsx]CmsRateBond!R49C2CashFlow,A</v>
      </c>
      <c r="C49" s="23" t="str">
        <f>_xll.qlBondRedemptions(C36,C36)</f>
        <v>欣[test_bonds.xlsx]CmsRateBond!R49C3CashFlow,A</v>
      </c>
    </row>
    <row r="50" spans="1:3" x14ac:dyDescent="0.25">
      <c r="A50" s="69" t="s">
        <v>31</v>
      </c>
      <c r="B50" s="67" t="str">
        <f>_xll.qlBondCalendar(B36,B36)</f>
        <v>TARGET</v>
      </c>
      <c r="C50" s="68" t="str">
        <f>_xll.qlBondCalendar(C36,C36)</f>
        <v>TARGET</v>
      </c>
    </row>
    <row r="51" spans="1:3" x14ac:dyDescent="0.25">
      <c r="A51" s="26" t="s">
        <v>32</v>
      </c>
      <c r="B51" s="22">
        <f>_xll.qlBondNotional(B36)</f>
        <v>100</v>
      </c>
      <c r="C51" s="23">
        <f>_xll.qlBondNotional(C36)</f>
        <v>100</v>
      </c>
    </row>
    <row r="52" spans="1:3" x14ac:dyDescent="0.25">
      <c r="A52" s="50" t="s">
        <v>59</v>
      </c>
      <c r="B52" s="67">
        <f>_xll.qlBondNotionals(B36:B36)</f>
        <v>100</v>
      </c>
      <c r="C52" s="68">
        <f>_xll.qlBondNotionals(C36:C36)</f>
        <v>100</v>
      </c>
    </row>
    <row r="53" spans="1:3" x14ac:dyDescent="0.25">
      <c r="A53" s="45" t="s">
        <v>55</v>
      </c>
      <c r="B53" s="19" t="str">
        <f>_xll.qlFlatForward($B$1,0.03,"actual360","compounded","Annual",B36)</f>
        <v>欣[test_bonds.xlsx]CmsRateBond!R53C2YieldTermStructureHandle,A</v>
      </c>
      <c r="C53" s="20" t="str">
        <f>_xll.qlFlatForward($B$1,0.03,"actual360","compounded","Annual",C36)</f>
        <v>欣[test_bonds.xlsx]CmsRateBond!R53C3YieldTermStructureHandle,A</v>
      </c>
    </row>
    <row r="54" spans="1:3" x14ac:dyDescent="0.25">
      <c r="A54" s="28" t="s">
        <v>150</v>
      </c>
      <c r="B54" s="22" t="str">
        <f>_xll.qlDiscountingBondEngine(B53,B53)</f>
        <v>欣[test_bonds.xlsx]CmsRateBond!R54C2DiscountingBondEngine,A</v>
      </c>
      <c r="C54" s="23" t="str">
        <f>_xll.qlDiscountingBondEngine(C53,C53)</f>
        <v>欣[test_bonds.xlsx]CmsRateBond!R54C3DiscountingBondEngine,A</v>
      </c>
    </row>
    <row r="55" spans="1:3" x14ac:dyDescent="0.25">
      <c r="A55" s="45" t="s">
        <v>151</v>
      </c>
      <c r="B55" s="22" t="b">
        <f>_xll.qlInstrumentSetPricingEngine(B36,B54,B54)</f>
        <v>1</v>
      </c>
      <c r="C55" s="23" t="b">
        <f>_xll.qlInstrumentSetPricingEngine(C36,C54,C54)</f>
        <v>1</v>
      </c>
    </row>
    <row r="56" spans="1:3" x14ac:dyDescent="0.25">
      <c r="A56" s="28" t="s">
        <v>33</v>
      </c>
      <c r="B56" s="48">
        <f>_xll.qlBondCleanPrice(B36,B55)</f>
        <v>71.893007155387124</v>
      </c>
      <c r="C56" s="49">
        <f>_xll.qlBondCleanPrice(C36,C55)</f>
        <v>86.271608586464566</v>
      </c>
    </row>
    <row r="57" spans="1:3" x14ac:dyDescent="0.25">
      <c r="A57" s="25" t="s">
        <v>56</v>
      </c>
      <c r="B57" s="46">
        <v>2.9558800538580478E-2</v>
      </c>
      <c r="C57" s="47">
        <v>2.9558800538580478E-2</v>
      </c>
    </row>
    <row r="58" spans="1:3" x14ac:dyDescent="0.25">
      <c r="A58" s="26" t="s">
        <v>34</v>
      </c>
      <c r="B58" s="48">
        <f>_xll.qlBondCleanPrice2(B36,B57,"actual360","continuous",,,B55)</f>
        <v>71.893008522195444</v>
      </c>
      <c r="C58" s="49">
        <f>_xll.qlBondCleanPrice2(C36,C57,"actual360","continuous",,,C55)</f>
        <v>86.271610226634536</v>
      </c>
    </row>
    <row r="59" spans="1:3" x14ac:dyDescent="0.25">
      <c r="A59" s="50" t="s">
        <v>35</v>
      </c>
      <c r="B59" s="61">
        <f>_xll.qlBondDirtyPrice(B36,B55)</f>
        <v>71.893007155387124</v>
      </c>
      <c r="C59" s="62">
        <f>_xll.qlBondDirtyPrice(C36,C55)</f>
        <v>86.271608586464566</v>
      </c>
    </row>
    <row r="60" spans="1:3" x14ac:dyDescent="0.25">
      <c r="A60" s="26" t="s">
        <v>36</v>
      </c>
      <c r="B60" s="51">
        <f>_xll.qlBondDirtyPrice2(B36,B57,"actual360","CONTINUOUS","annual",,B55)</f>
        <v>71.893008522195444</v>
      </c>
      <c r="C60" s="52">
        <f>_xll.qlBondDirtyPrice2(C36,C57,"actual360","CONTINUOUS","annual",,C55)</f>
        <v>86.271610226634536</v>
      </c>
    </row>
    <row r="61" spans="1:3" x14ac:dyDescent="0.25">
      <c r="A61" s="50" t="s">
        <v>37</v>
      </c>
      <c r="B61" s="61">
        <f>_xll.qlBondYield(B36,"actual360","CONTINUOUS","annual",,,B55)</f>
        <v>2.9558802241544471E-2</v>
      </c>
      <c r="C61" s="62">
        <f>_xll.qlBondYield(C36,"actual360","CONTINUOUS","annual",,,C55)</f>
        <v>2.9558802241544432E-2</v>
      </c>
    </row>
    <row r="62" spans="1:3" x14ac:dyDescent="0.25">
      <c r="A62" s="25" t="s">
        <v>120</v>
      </c>
      <c r="B62" s="46" t="str">
        <f>_xll.qlBondPrice(B56,"clean",B56)</f>
        <v>欣[test_bonds.xlsx]CmsRateBond!R62C2BondPrice,A</v>
      </c>
      <c r="C62" s="47" t="str">
        <f>_xll.qlBondPrice(C56,"clean",C56)</f>
        <v>欣[test_bonds.xlsx]CmsRateBond!R62C3BondPrice,A</v>
      </c>
    </row>
    <row r="63" spans="1:3" x14ac:dyDescent="0.25">
      <c r="A63" s="26" t="s">
        <v>38</v>
      </c>
      <c r="B63" s="48">
        <f>_xll.qlBondYield2(B36,B62,"actual360","CONTINUOUS","annual",,,,,B62)</f>
        <v>2.9558802241544471E-2</v>
      </c>
      <c r="C63" s="49">
        <f>_xll.qlBondYield2(C36,C62,"actual360","CONTINUOUS","annual",,,,,C62)</f>
        <v>2.9558802241544432E-2</v>
      </c>
    </row>
    <row r="64" spans="1:3" x14ac:dyDescent="0.25">
      <c r="A64" s="45" t="s">
        <v>54</v>
      </c>
      <c r="B64" s="39">
        <v>45667</v>
      </c>
      <c r="C64" s="40">
        <v>45667</v>
      </c>
    </row>
    <row r="65" spans="1:3" x14ac:dyDescent="0.25">
      <c r="A65" s="28" t="s">
        <v>39</v>
      </c>
      <c r="B65" s="48">
        <f>_xll.qlBondAccruedAmount(B36,B64,B55)</f>
        <v>0</v>
      </c>
      <c r="C65" s="49">
        <f>_xll.qlBondAccruedAmount(C36,C64,C55)</f>
        <v>0</v>
      </c>
    </row>
    <row r="66" spans="1:3" x14ac:dyDescent="0.25">
      <c r="A66" s="50" t="s">
        <v>40</v>
      </c>
      <c r="B66" s="61">
        <f>_xll.qlBondSettlementValue(B36,B55)</f>
        <v>71.893007155387124</v>
      </c>
      <c r="C66" s="62">
        <f>_xll.qlBondSettlementValue(C36,C55)</f>
        <v>86.271608586464566</v>
      </c>
    </row>
    <row r="67" spans="1:3" x14ac:dyDescent="0.25">
      <c r="A67" s="26" t="s">
        <v>41</v>
      </c>
      <c r="B67" s="51">
        <f>_xll.qlBondSettlementValue2(B36,B56)</f>
        <v>71.893007155387124</v>
      </c>
      <c r="C67" s="52">
        <f>_xll.qlBondSettlementValue2(C36,C56)</f>
        <v>86.271608586464566</v>
      </c>
    </row>
    <row r="68" spans="1:3" x14ac:dyDescent="0.25">
      <c r="A68" s="45" t="s">
        <v>153</v>
      </c>
      <c r="B68" s="46" t="str">
        <f>_xll.qlFlatForward($B$1,0.03,"actual365fixed",,,B36)</f>
        <v>欣[test_bonds.xlsx]CmsRateBond!R68C2YieldTermStructureHandle,A</v>
      </c>
      <c r="C68" s="47" t="str">
        <f>_xll.qlFlatForward($B$1,0.03,"actual365fixed",,,C36)</f>
        <v>欣[test_bonds.xlsx]CmsRateBond!R68C3YieldTermStructureHandle,A</v>
      </c>
    </row>
    <row r="69" spans="1:3" x14ac:dyDescent="0.25">
      <c r="A69" s="25" t="s">
        <v>162</v>
      </c>
      <c r="B69" s="61">
        <v>5.0000000000000001E-3</v>
      </c>
      <c r="C69" s="62">
        <v>5.0000000000000001E-3</v>
      </c>
    </row>
    <row r="70" spans="1:3" x14ac:dyDescent="0.25">
      <c r="A70" s="25" t="s">
        <v>164</v>
      </c>
      <c r="B70" s="61" t="s">
        <v>167</v>
      </c>
      <c r="C70" s="62" t="s">
        <v>167</v>
      </c>
    </row>
    <row r="71" spans="1:3" x14ac:dyDescent="0.25">
      <c r="A71" s="25" t="s">
        <v>163</v>
      </c>
      <c r="B71" s="61" t="s">
        <v>168</v>
      </c>
      <c r="C71" s="62" t="s">
        <v>168</v>
      </c>
    </row>
    <row r="72" spans="1:3" x14ac:dyDescent="0.25">
      <c r="A72" s="25" t="s">
        <v>165</v>
      </c>
      <c r="B72" s="61" t="s">
        <v>169</v>
      </c>
      <c r="C72" s="62" t="s">
        <v>169</v>
      </c>
    </row>
    <row r="73" spans="1:3" x14ac:dyDescent="0.25">
      <c r="A73" s="25" t="s">
        <v>166</v>
      </c>
      <c r="B73" s="61"/>
      <c r="C73" s="62"/>
    </row>
    <row r="74" spans="1:3" x14ac:dyDescent="0.25">
      <c r="A74" s="28" t="s">
        <v>161</v>
      </c>
      <c r="B74" s="29">
        <f>_xll.qlBondCleanPriceFromZSpread(B36,B68,B69,B70,B71,B72,,B68)</f>
        <v>68.138537120691339</v>
      </c>
      <c r="C74" s="30">
        <f>_xll.qlBondCleanPriceFromZSpread(C36,C68,C69,C70,C71,C72,,C68)</f>
        <v>81.766244544829618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D84F-1436-4AE1-BC17-091C65B56114}">
  <dimension ref="A1:C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8.5703125" customWidth="1"/>
    <col min="2" max="3" width="73.5703125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3" spans="1:3" x14ac:dyDescent="0.25">
      <c r="B3" s="2"/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121" t="s">
        <v>82</v>
      </c>
      <c r="B5" s="22">
        <v>103</v>
      </c>
      <c r="C5" s="23">
        <v>103</v>
      </c>
    </row>
    <row r="6" spans="1:3" x14ac:dyDescent="0.25">
      <c r="A6" s="121"/>
      <c r="B6" s="22">
        <v>102</v>
      </c>
      <c r="C6" s="23">
        <v>102</v>
      </c>
    </row>
    <row r="7" spans="1:3" x14ac:dyDescent="0.25">
      <c r="A7" s="121"/>
      <c r="B7" s="22">
        <v>101</v>
      </c>
      <c r="C7" s="23">
        <v>101</v>
      </c>
    </row>
    <row r="8" spans="1:3" x14ac:dyDescent="0.25">
      <c r="A8" s="31" t="s">
        <v>73</v>
      </c>
      <c r="B8" s="32">
        <v>45665</v>
      </c>
      <c r="C8" s="33">
        <v>45665</v>
      </c>
    </row>
    <row r="9" spans="1:3" x14ac:dyDescent="0.25">
      <c r="A9" s="21" t="s">
        <v>74</v>
      </c>
      <c r="B9" s="34">
        <v>49682</v>
      </c>
      <c r="C9" s="35">
        <v>49682</v>
      </c>
    </row>
    <row r="10" spans="1:3" x14ac:dyDescent="0.25">
      <c r="A10" s="21" t="s">
        <v>46</v>
      </c>
      <c r="B10" s="36" t="s">
        <v>147</v>
      </c>
      <c r="C10" s="37" t="s">
        <v>147</v>
      </c>
    </row>
    <row r="11" spans="1:3" x14ac:dyDescent="0.25">
      <c r="A11" s="21" t="s">
        <v>60</v>
      </c>
      <c r="B11" s="36" t="str">
        <f>_xll.qlCalendar("TARGET")</f>
        <v>TARGET</v>
      </c>
      <c r="C11" s="37" t="str">
        <f>_xll.qlCalendar("TARGET")</f>
        <v>TARGET</v>
      </c>
    </row>
    <row r="12" spans="1:3" x14ac:dyDescent="0.25">
      <c r="A12" s="21" t="s">
        <v>47</v>
      </c>
      <c r="B12" s="36" t="s">
        <v>53</v>
      </c>
      <c r="C12" s="37" t="s">
        <v>53</v>
      </c>
    </row>
    <row r="13" spans="1:3" x14ac:dyDescent="0.25">
      <c r="A13" s="21" t="s">
        <v>75</v>
      </c>
      <c r="B13" s="36" t="s">
        <v>53</v>
      </c>
      <c r="C13" s="37" t="s">
        <v>53</v>
      </c>
    </row>
    <row r="14" spans="1:3" x14ac:dyDescent="0.25">
      <c r="A14" s="21" t="s">
        <v>77</v>
      </c>
      <c r="B14" s="36" t="s">
        <v>79</v>
      </c>
      <c r="C14" s="37" t="s">
        <v>79</v>
      </c>
    </row>
    <row r="15" spans="1:3" x14ac:dyDescent="0.25">
      <c r="A15" s="21" t="s">
        <v>78</v>
      </c>
      <c r="B15" s="36">
        <v>0</v>
      </c>
      <c r="C15" s="37">
        <v>0</v>
      </c>
    </row>
    <row r="16" spans="1:3" x14ac:dyDescent="0.25">
      <c r="A16" s="38" t="s">
        <v>65</v>
      </c>
      <c r="B16" s="29" t="str">
        <f>_xll.qlSchedule(B8,B9,B10,B11,B12,B13,B14,B15,,,B2)</f>
        <v>欣[test_bonds.xlsx]AmortizingCmsRateBond!R16C2Schedule,A</v>
      </c>
      <c r="C16" s="30" t="str">
        <f>_xll.qlSchedule(C8,C9,C10,C11,C12,C13,C14,C15,,,C2)</f>
        <v>欣[test_bonds.xlsx]AmortizingCmsRateBond!R16C3Schedule,A</v>
      </c>
    </row>
    <row r="17" spans="1:3" x14ac:dyDescent="0.25">
      <c r="A17" s="110" t="s">
        <v>101</v>
      </c>
      <c r="B17" s="100" t="s">
        <v>102</v>
      </c>
      <c r="C17" s="101" t="s">
        <v>102</v>
      </c>
    </row>
    <row r="18" spans="1:3" x14ac:dyDescent="0.25">
      <c r="A18" s="114" t="s">
        <v>46</v>
      </c>
      <c r="B18" s="36" t="s">
        <v>76</v>
      </c>
      <c r="C18" s="37" t="s">
        <v>76</v>
      </c>
    </row>
    <row r="19" spans="1:3" x14ac:dyDescent="0.25">
      <c r="A19" s="114" t="s">
        <v>14</v>
      </c>
      <c r="B19" s="36">
        <v>2</v>
      </c>
      <c r="C19" s="37">
        <v>2</v>
      </c>
    </row>
    <row r="20" spans="1:3" x14ac:dyDescent="0.25">
      <c r="A20" s="114" t="s">
        <v>103</v>
      </c>
      <c r="B20" s="36" t="s">
        <v>104</v>
      </c>
      <c r="C20" s="37" t="s">
        <v>104</v>
      </c>
    </row>
    <row r="21" spans="1:3" x14ac:dyDescent="0.25">
      <c r="A21" s="114" t="s">
        <v>60</v>
      </c>
      <c r="B21" s="36" t="str">
        <f>_xll.qlCalendar("TARGET")</f>
        <v>TARGET</v>
      </c>
      <c r="C21" s="37" t="str">
        <f>_xll.qlCalendar("TARGET")</f>
        <v>TARGET</v>
      </c>
    </row>
    <row r="22" spans="1:3" x14ac:dyDescent="0.25">
      <c r="A22" s="114" t="s">
        <v>105</v>
      </c>
      <c r="B22" s="36" t="s">
        <v>52</v>
      </c>
      <c r="C22" s="37" t="s">
        <v>52</v>
      </c>
    </row>
    <row r="23" spans="1:3" x14ac:dyDescent="0.25">
      <c r="A23" s="114" t="s">
        <v>106</v>
      </c>
      <c r="B23" s="36" t="s">
        <v>64</v>
      </c>
      <c r="C23" s="37" t="s">
        <v>64</v>
      </c>
    </row>
    <row r="24" spans="1:3" x14ac:dyDescent="0.25">
      <c r="A24" s="114" t="s">
        <v>107</v>
      </c>
      <c r="B24" s="36" t="s">
        <v>148</v>
      </c>
      <c r="C24" s="37" t="s">
        <v>148</v>
      </c>
    </row>
    <row r="25" spans="1:3" x14ac:dyDescent="0.25">
      <c r="A25" s="114" t="s">
        <v>109</v>
      </c>
      <c r="B25" s="36" t="str">
        <f>_xll.qlEuribor("3M",,B16)</f>
        <v>欣[test_bonds.xlsx]AmortizingCmsRateBond!R25C2Euribor,A</v>
      </c>
      <c r="C25" s="37" t="str">
        <f>_xll.qlEuribor("3M",,C16)</f>
        <v>欣[test_bonds.xlsx]AmortizingCmsRateBond!R25C3Euribor,A</v>
      </c>
    </row>
    <row r="26" spans="1:3" x14ac:dyDescent="0.25">
      <c r="A26" s="114" t="s">
        <v>110</v>
      </c>
      <c r="B26" s="36" t="str">
        <f>_xll.qlFlatForward(B2,0.03,"Actual360","Compounded","Quarterly",B25)</f>
        <v>欣[test_bonds.xlsx]AmortizingCmsRateBond!R26C2YieldTermStructureHandle,A</v>
      </c>
      <c r="C26" s="37" t="str">
        <f>_xll.qlFlatForward(B2,0.03,"Actual360","Compounded","Quarterly",C25)</f>
        <v>欣[test_bonds.xlsx]AmortizingCmsRateBond!R26C3YieldTermStructureHandle,A</v>
      </c>
    </row>
    <row r="27" spans="1:3" x14ac:dyDescent="0.25">
      <c r="A27" s="38" t="s">
        <v>100</v>
      </c>
      <c r="B27" s="29" t="str">
        <f>_xll.qlSwapIndex(B17,B18,B19,B20,B21,B22,B23,B24,B25,B26,B26)</f>
        <v>欣[test_bonds.xlsx]AmortizingCmsRateBond!R27C2SwapIndex,A</v>
      </c>
      <c r="C27" s="30" t="str">
        <f>_xll.qlSwapIndex(C17,C18,C19,C20,C21,C22,C23,C24,C25,C26,C26)</f>
        <v>欣[test_bonds.xlsx]AmortizingCmsRateBond!R27C3SwapIndex,A</v>
      </c>
    </row>
    <row r="28" spans="1:3" x14ac:dyDescent="0.25">
      <c r="A28" s="24" t="s">
        <v>67</v>
      </c>
      <c r="B28" s="22" t="s">
        <v>148</v>
      </c>
      <c r="C28" s="23" t="s">
        <v>148</v>
      </c>
    </row>
    <row r="29" spans="1:3" x14ac:dyDescent="0.25">
      <c r="A29" s="24" t="s">
        <v>84</v>
      </c>
      <c r="B29" s="22"/>
      <c r="C29" s="23" t="s">
        <v>64</v>
      </c>
    </row>
    <row r="30" spans="1:3" x14ac:dyDescent="0.25">
      <c r="A30" s="24" t="s">
        <v>90</v>
      </c>
      <c r="B30" s="22"/>
      <c r="C30" s="23">
        <v>0</v>
      </c>
    </row>
    <row r="31" spans="1:3" x14ac:dyDescent="0.25">
      <c r="A31" s="113" t="s">
        <v>91</v>
      </c>
      <c r="B31" s="22"/>
      <c r="C31" s="23">
        <v>0</v>
      </c>
    </row>
    <row r="32" spans="1:3" x14ac:dyDescent="0.25">
      <c r="A32" s="24" t="s">
        <v>92</v>
      </c>
      <c r="B32" s="22"/>
      <c r="C32" s="23">
        <v>3.0000000000000001E-3</v>
      </c>
    </row>
    <row r="33" spans="1:3" x14ac:dyDescent="0.25">
      <c r="A33" s="25" t="s">
        <v>93</v>
      </c>
      <c r="B33" s="22"/>
      <c r="C33" s="23">
        <v>1</v>
      </c>
    </row>
    <row r="34" spans="1:3" x14ac:dyDescent="0.25">
      <c r="A34" s="25" t="s">
        <v>94</v>
      </c>
      <c r="B34" s="22"/>
      <c r="C34" s="23">
        <v>0</v>
      </c>
    </row>
    <row r="35" spans="1:3" x14ac:dyDescent="0.25">
      <c r="A35" s="24" t="s">
        <v>95</v>
      </c>
      <c r="B35" s="22"/>
      <c r="C35" s="23">
        <v>1</v>
      </c>
    </row>
    <row r="36" spans="1:3" x14ac:dyDescent="0.25">
      <c r="A36" s="24" t="s">
        <v>17</v>
      </c>
      <c r="B36" s="22"/>
      <c r="C36" s="42">
        <v>45663</v>
      </c>
    </row>
    <row r="37" spans="1:3" x14ac:dyDescent="0.25">
      <c r="A37" s="43" t="s">
        <v>111</v>
      </c>
      <c r="B37" s="117" t="str">
        <f>_xll.qlAmortizingCmsRateBond(B4,B5:B7,B16,B27,B28,,,,,,,,,B27)</f>
        <v>欣[test_bonds.xlsx]AmortizingCmsRateBond!R37C2AmortizingCmsRateBond,A</v>
      </c>
      <c r="C37" s="118" t="str">
        <f>_xll.qlAmortizingCmsRateBond(C4,C5:C7,C16,C27,C28,C29,C30,C31,C32,C33,C34,C35,C36,C27)</f>
        <v>欣[test_bonds.xlsx]AmortizingCmsRateBond!R37C3AmortizingCmsRateBond,A</v>
      </c>
    </row>
    <row r="38" spans="1:3" x14ac:dyDescent="0.25">
      <c r="A38" s="93" t="s">
        <v>20</v>
      </c>
      <c r="B38" s="19">
        <f>_xll.qlBondNextCouponRate(B37,,B37)</f>
        <v>0</v>
      </c>
      <c r="C38" s="20">
        <f>_xll.qlBondNextCouponRate(C37,,C37)</f>
        <v>3.0000000000000001E-3</v>
      </c>
    </row>
    <row r="39" spans="1:3" x14ac:dyDescent="0.25">
      <c r="A39" s="69" t="s">
        <v>21</v>
      </c>
      <c r="B39" s="67">
        <f>_xll.qlBondPreviousCouponRate(B37,,B37)</f>
        <v>0</v>
      </c>
      <c r="C39" s="68">
        <f>_xll.qlBondPreviousCouponRate(C37,,C37)</f>
        <v>0</v>
      </c>
    </row>
    <row r="40" spans="1:3" x14ac:dyDescent="0.25">
      <c r="A40" s="26" t="s">
        <v>22</v>
      </c>
      <c r="B40" s="41">
        <f>_xll.qlBondNextCashFlowDate(B37,,B37)</f>
        <v>46030</v>
      </c>
      <c r="C40" s="42">
        <f>_xll.qlBondNextCashFlowDate(C37,,C37)</f>
        <v>46030</v>
      </c>
    </row>
    <row r="41" spans="1:3" x14ac:dyDescent="0.25">
      <c r="A41" s="69" t="s">
        <v>23</v>
      </c>
      <c r="B41" s="94">
        <f>_xll.qlBondPreviousCashFlowDate(B37,,B37)</f>
        <v>0</v>
      </c>
      <c r="C41" s="87">
        <f>_xll.qlBondPreviousCashFlowDate(C37,,C37)</f>
        <v>0</v>
      </c>
    </row>
    <row r="42" spans="1:3" x14ac:dyDescent="0.25">
      <c r="A42" s="93" t="s">
        <v>24</v>
      </c>
      <c r="B42" s="22">
        <f>_xll.qlBondSettlementDays(B37,B37)</f>
        <v>2</v>
      </c>
      <c r="C42" s="23">
        <f>_xll.qlBondSettlementDays(C37,C37)</f>
        <v>2</v>
      </c>
    </row>
    <row r="43" spans="1:3" x14ac:dyDescent="0.25">
      <c r="A43" s="93" t="s">
        <v>25</v>
      </c>
      <c r="B43" s="94">
        <f>_xll.qlBondSettlementDate(B37,,B37)</f>
        <v>45663</v>
      </c>
      <c r="C43" s="87">
        <f>_xll.qlBondSettlementDate(C37,,C37)</f>
        <v>45663</v>
      </c>
    </row>
    <row r="44" spans="1:3" x14ac:dyDescent="0.25">
      <c r="A44" s="26" t="s">
        <v>26</v>
      </c>
      <c r="B44" s="22" t="b">
        <f>_xll.qlBondIsTradable(B37,,B37)</f>
        <v>1</v>
      </c>
      <c r="C44" s="23" t="b">
        <f>_xll.qlBondIsTradable(C37,,C37)</f>
        <v>1</v>
      </c>
    </row>
    <row r="45" spans="1:3" x14ac:dyDescent="0.25">
      <c r="A45" s="93" t="s">
        <v>27</v>
      </c>
      <c r="B45" s="94">
        <f>_xll.qlBondStartDate(B37,B37)</f>
        <v>45665</v>
      </c>
      <c r="C45" s="87">
        <f>_xll.qlBondStartDate(C37,C37)</f>
        <v>45665</v>
      </c>
    </row>
    <row r="46" spans="1:3" x14ac:dyDescent="0.25">
      <c r="A46" s="93" t="s">
        <v>28</v>
      </c>
      <c r="B46" s="41">
        <f>_xll.qlBondMaturityDate(B37,B37)</f>
        <v>49682</v>
      </c>
      <c r="C46" s="42">
        <f>_xll.qlBondMaturityDate(C37,C37)</f>
        <v>49682</v>
      </c>
    </row>
    <row r="47" spans="1:3" x14ac:dyDescent="0.25">
      <c r="A47" s="69" t="s">
        <v>29</v>
      </c>
      <c r="B47" s="67">
        <f>_xll.qlBondIssueDate(B37,B37)</f>
        <v>0</v>
      </c>
      <c r="C47" s="68">
        <f>_xll.qlBondIssueDate(C37,C37)</f>
        <v>45663</v>
      </c>
    </row>
    <row r="48" spans="1:3" x14ac:dyDescent="0.25">
      <c r="A48" s="26" t="s">
        <v>30</v>
      </c>
      <c r="B48" s="22" t="str">
        <f>_xll.qlBondCashFlows(B37,B37)</f>
        <v>欣[test_bonds.xlsx]AmortizingCmsRateBond!R48C2CashFlow,A</v>
      </c>
      <c r="C48" s="23" t="str">
        <f>_xll.qlBondCashFlows(C37,C37)</f>
        <v>欣[test_bonds.xlsx]AmortizingCmsRateBond!R48C3CashFlow,A</v>
      </c>
    </row>
    <row r="49" spans="1:3" x14ac:dyDescent="0.25">
      <c r="A49" s="69" t="s">
        <v>57</v>
      </c>
      <c r="B49" s="67">
        <f>FIND("RuntimeError: RuntimeError: multiple redemption cash flows given",_xll.qlBondRedemption(B37))</f>
        <v>1</v>
      </c>
      <c r="C49" s="68">
        <f>FIND("RuntimeError: RuntimeError: multiple redemption cash flows given",_xll.qlBondRedemption(C37))</f>
        <v>1</v>
      </c>
    </row>
    <row r="50" spans="1:3" x14ac:dyDescent="0.25">
      <c r="A50" s="93" t="s">
        <v>58</v>
      </c>
      <c r="B50" s="22" t="str">
        <f>_xll.qlBondRedemptions(B37,B37)</f>
        <v>欣[test_bonds.xlsx]AmortizingCmsRateBond!R50C2CashFlow,A</v>
      </c>
      <c r="C50" s="23" t="str">
        <f>_xll.qlBondRedemptions(C37,C37)</f>
        <v>欣[test_bonds.xlsx]AmortizingCmsRateBond!R50C3CashFlow,A</v>
      </c>
    </row>
    <row r="51" spans="1:3" x14ac:dyDescent="0.25">
      <c r="A51" s="69" t="s">
        <v>31</v>
      </c>
      <c r="B51" s="67" t="str">
        <f>_xll.qlBondCalendar(B37,B37)</f>
        <v>TARGET</v>
      </c>
      <c r="C51" s="68" t="str">
        <f>_xll.qlBondCalendar(C37,C37)</f>
        <v>TARGET</v>
      </c>
    </row>
    <row r="52" spans="1:3" x14ac:dyDescent="0.25">
      <c r="A52" s="26" t="s">
        <v>32</v>
      </c>
      <c r="B52" s="22">
        <f>_xll.qlBondNotional(B37)</f>
        <v>103</v>
      </c>
      <c r="C52" s="23">
        <f>_xll.qlBondNotional(C37)</f>
        <v>103</v>
      </c>
    </row>
    <row r="53" spans="1:3" x14ac:dyDescent="0.25">
      <c r="A53" s="50" t="s">
        <v>59</v>
      </c>
      <c r="B53" s="67">
        <f>_xll.qlBondNotionals(B37:B37)</f>
        <v>103</v>
      </c>
      <c r="C53" s="68">
        <f>_xll.qlBondNotionals(C37:C37)</f>
        <v>103</v>
      </c>
    </row>
    <row r="54" spans="1:3" x14ac:dyDescent="0.25">
      <c r="A54" s="25" t="s">
        <v>55</v>
      </c>
      <c r="B54" s="19" t="str">
        <f>_xll.qlFlatForward($B$1,0.03,"actual360","compounded","Annual",B37)</f>
        <v>欣[test_bonds.xlsx]AmortizingCmsRateBond!R54C2YieldTermStructureHandle,A</v>
      </c>
      <c r="C54" s="20" t="str">
        <f>_xll.qlFlatForward($B$1,0.03,"actual360","compounded","Annual",C37)</f>
        <v>欣[test_bonds.xlsx]AmortizingCmsRateBond!R54C3YieldTermStructureHandle,A</v>
      </c>
    </row>
    <row r="55" spans="1:3" x14ac:dyDescent="0.25">
      <c r="A55" s="26" t="s">
        <v>150</v>
      </c>
      <c r="B55" s="22" t="str">
        <f>_xll.qlDiscountingBondEngine(B54,B54)</f>
        <v>欣[test_bonds.xlsx]AmortizingCmsRateBond!R55C2DiscountingBondEngine,A</v>
      </c>
      <c r="C55" s="23" t="str">
        <f>_xll.qlDiscountingBondEngine(C54,C54)</f>
        <v>欣[test_bonds.xlsx]AmortizingCmsRateBond!R55C3DiscountingBondEngine,A</v>
      </c>
    </row>
    <row r="56" spans="1:3" x14ac:dyDescent="0.25">
      <c r="A56" s="25" t="s">
        <v>151</v>
      </c>
      <c r="B56" s="22" t="b">
        <f>_xll.qlInstrumentSetPricingEngine(B37,B55,B55)</f>
        <v>1</v>
      </c>
      <c r="C56" s="23" t="b">
        <f>_xll.qlInstrumentSetPricingEngine(C37,C55,C55)</f>
        <v>1</v>
      </c>
    </row>
    <row r="57" spans="1:3" x14ac:dyDescent="0.25">
      <c r="A57" s="50" t="s">
        <v>33</v>
      </c>
      <c r="B57" s="48">
        <f>_xll.qlBondCleanPrice(B37,B56)</f>
        <v>72.353321157861998</v>
      </c>
      <c r="C57" s="49">
        <f>_xll.qlBondCleanPrice(C37,C56)</f>
        <v>75.076465629429379</v>
      </c>
    </row>
    <row r="58" spans="1:3" x14ac:dyDescent="0.25">
      <c r="A58" s="45" t="s">
        <v>56</v>
      </c>
      <c r="B58" s="46">
        <v>2.9558800538580478E-2</v>
      </c>
      <c r="C58" s="47">
        <v>2.9558800538580478E-2</v>
      </c>
    </row>
    <row r="59" spans="1:3" x14ac:dyDescent="0.25">
      <c r="A59" s="28" t="s">
        <v>34</v>
      </c>
      <c r="B59" s="48">
        <f>_xll.qlBondCleanPrice2(B37,B58,"actual360","continuous",,,B56)</f>
        <v>72.353322502931562</v>
      </c>
      <c r="C59" s="49">
        <f>_xll.qlBondCleanPrice2(C37,C58,"actual360","continuous",,,C56)</f>
        <v>75.076467001283646</v>
      </c>
    </row>
    <row r="60" spans="1:3" x14ac:dyDescent="0.25">
      <c r="A60" s="26" t="s">
        <v>35</v>
      </c>
      <c r="B60" s="61">
        <f>_xll.qlBondDirtyPrice(B37,B56)</f>
        <v>72.353321157861998</v>
      </c>
      <c r="C60" s="62">
        <f>_xll.qlBondDirtyPrice(C37,C56)</f>
        <v>75.076465629429379</v>
      </c>
    </row>
    <row r="61" spans="1:3" x14ac:dyDescent="0.25">
      <c r="A61" s="50" t="s">
        <v>36</v>
      </c>
      <c r="B61" s="51">
        <f>_xll.qlBondDirtyPrice2(B37,B58,"actual360","CONTINUOUS","annual",,B56)</f>
        <v>72.353322502931562</v>
      </c>
      <c r="C61" s="52">
        <f>_xll.qlBondDirtyPrice2(C37,C58,"actual360","CONTINUOUS","annual",,C56)</f>
        <v>75.076467001283646</v>
      </c>
    </row>
    <row r="62" spans="1:3" x14ac:dyDescent="0.25">
      <c r="A62" s="26" t="s">
        <v>37</v>
      </c>
      <c r="B62" s="61">
        <f>_xll.qlBondYield(B37,"actual360","CONTINUOUS","annual",,,B56)</f>
        <v>2.9558802241544436E-2</v>
      </c>
      <c r="C62" s="62">
        <f>_xll.qlBondYield(C37,"actual360","CONTINUOUS","annual",,,C56)</f>
        <v>2.9558802241544401E-2</v>
      </c>
    </row>
    <row r="63" spans="1:3" x14ac:dyDescent="0.25">
      <c r="A63" s="45" t="s">
        <v>120</v>
      </c>
      <c r="B63" s="46" t="str">
        <f>_xll.qlBondPrice(B57,"clean",B57)</f>
        <v>欣[test_bonds.xlsx]AmortizingCmsRateBond!R63C2BondPrice,A</v>
      </c>
      <c r="C63" s="47" t="str">
        <f>_xll.qlBondPrice(C57,"clean",C57)</f>
        <v>欣[test_bonds.xlsx]AmortizingCmsRateBond!R63C3BondPrice,A</v>
      </c>
    </row>
    <row r="64" spans="1:3" x14ac:dyDescent="0.25">
      <c r="A64" s="28" t="s">
        <v>38</v>
      </c>
      <c r="B64" s="48">
        <f>_xll.qlBondYield2(B37,B63,"actual360","CONTINUOUS","annual",,,,,B63)</f>
        <v>2.9558802241544436E-2</v>
      </c>
      <c r="C64" s="49">
        <f>_xll.qlBondYield2(C37,C63,"actual360","CONTINUOUS","annual",,,,,C63)</f>
        <v>2.9558802241544401E-2</v>
      </c>
    </row>
    <row r="65" spans="1:3" x14ac:dyDescent="0.25">
      <c r="A65" s="45" t="s">
        <v>54</v>
      </c>
      <c r="B65" s="39">
        <v>45667</v>
      </c>
      <c r="C65" s="40">
        <v>45667</v>
      </c>
    </row>
    <row r="66" spans="1:3" x14ac:dyDescent="0.25">
      <c r="A66" s="28" t="s">
        <v>39</v>
      </c>
      <c r="B66" s="48">
        <f>_xll.qlBondAccruedAmount(B37,B65,B56)</f>
        <v>0</v>
      </c>
      <c r="C66" s="49">
        <f>_xll.qlBondAccruedAmount(C37,C65,C56)</f>
        <v>1.6666666666775853E-3</v>
      </c>
    </row>
    <row r="67" spans="1:3" x14ac:dyDescent="0.25">
      <c r="A67" s="26" t="s">
        <v>40</v>
      </c>
      <c r="B67" s="61">
        <f>_xll.qlBondSettlementValue(B37,B56)</f>
        <v>74.523920792597863</v>
      </c>
      <c r="C67" s="62">
        <f>_xll.qlBondSettlementValue(C37,C56)</f>
        <v>77.32875959831226</v>
      </c>
    </row>
    <row r="68" spans="1:3" x14ac:dyDescent="0.25">
      <c r="A68" s="50" t="s">
        <v>41</v>
      </c>
      <c r="B68" s="51">
        <f>_xll.qlBondSettlementValue2(B37,B57)</f>
        <v>74.523920792597849</v>
      </c>
      <c r="C68" s="52">
        <f>_xll.qlBondSettlementValue2(C37,C57)</f>
        <v>77.32875959831226</v>
      </c>
    </row>
    <row r="69" spans="1:3" x14ac:dyDescent="0.25">
      <c r="A69" s="25" t="s">
        <v>153</v>
      </c>
      <c r="B69" s="46" t="str">
        <f>_xll.qlFlatForward($B$1,0.03,"actual365fixed",,,B37)</f>
        <v>欣[test_bonds.xlsx]AmortizingCmsRateBond!R69C2YieldTermStructureHandle,A</v>
      </c>
      <c r="C69" s="47" t="str">
        <f>_xll.qlFlatForward($B$1,0.03,"actual365fixed",,,C37)</f>
        <v>欣[test_bonds.xlsx]AmortizingCmsRateBond!R69C3YieldTermStructureHandle,A</v>
      </c>
    </row>
    <row r="70" spans="1:3" x14ac:dyDescent="0.25">
      <c r="A70" s="25" t="s">
        <v>162</v>
      </c>
      <c r="B70" s="61">
        <v>5.0000000000000001E-3</v>
      </c>
      <c r="C70" s="62">
        <v>5.0000000000000001E-3</v>
      </c>
    </row>
    <row r="71" spans="1:3" x14ac:dyDescent="0.25">
      <c r="A71" s="25" t="s">
        <v>164</v>
      </c>
      <c r="B71" s="61" t="s">
        <v>167</v>
      </c>
      <c r="C71" s="62" t="s">
        <v>167</v>
      </c>
    </row>
    <row r="72" spans="1:3" x14ac:dyDescent="0.25">
      <c r="A72" s="25" t="s">
        <v>163</v>
      </c>
      <c r="B72" s="61" t="s">
        <v>168</v>
      </c>
      <c r="C72" s="62" t="s">
        <v>168</v>
      </c>
    </row>
    <row r="73" spans="1:3" x14ac:dyDescent="0.25">
      <c r="A73" s="25" t="s">
        <v>165</v>
      </c>
      <c r="B73" s="61" t="s">
        <v>169</v>
      </c>
      <c r="C73" s="62" t="s">
        <v>169</v>
      </c>
    </row>
    <row r="74" spans="1:3" x14ac:dyDescent="0.25">
      <c r="A74" s="25" t="s">
        <v>166</v>
      </c>
      <c r="B74" s="61"/>
      <c r="C74" s="62"/>
    </row>
    <row r="75" spans="1:3" x14ac:dyDescent="0.25">
      <c r="A75" s="28" t="s">
        <v>161</v>
      </c>
      <c r="B75" s="29">
        <f>_xll.qlBondCleanPriceFromZSpread(B37,B69,B70,B71,B72,B73,,B56)</f>
        <v>68.658262971981003</v>
      </c>
      <c r="C75" s="30">
        <f>_xll.qlBondCleanPriceFromZSpread(C37,C69,C70,C71,C72,C73,,C56)</f>
        <v>71.307194575057778</v>
      </c>
    </row>
  </sheetData>
  <mergeCells count="1">
    <mergeCell ref="A5:A7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C366-53EA-43EA-8BCB-0489C1B271E0}">
  <dimension ref="A3:B17"/>
  <sheetViews>
    <sheetView workbookViewId="0"/>
  </sheetViews>
  <sheetFormatPr baseColWidth="10" defaultColWidth="11.5703125" defaultRowHeight="15" x14ac:dyDescent="0.25"/>
  <cols>
    <col min="1" max="1" width="21.85546875" customWidth="1"/>
    <col min="2" max="2" width="48.7109375" style="2" bestFit="1" customWidth="1"/>
    <col min="6" max="6" width="18.140625" customWidth="1"/>
  </cols>
  <sheetData>
    <row r="3" spans="1:2" x14ac:dyDescent="0.25">
      <c r="A3" s="18" t="s">
        <v>125</v>
      </c>
      <c r="B3" s="20" t="str">
        <f>_xll.qlBondPrice(100,"clean")</f>
        <v>欣[test_bonds.xlsx]Callability!R3C2BondPrice,A</v>
      </c>
    </row>
    <row r="4" spans="1:2" x14ac:dyDescent="0.25">
      <c r="A4" s="24" t="s">
        <v>126</v>
      </c>
      <c r="B4" s="23" t="s">
        <v>127</v>
      </c>
    </row>
    <row r="5" spans="1:2" x14ac:dyDescent="0.25">
      <c r="A5" s="24" t="s">
        <v>128</v>
      </c>
      <c r="B5" s="42">
        <v>46357</v>
      </c>
    </row>
    <row r="6" spans="1:2" x14ac:dyDescent="0.25">
      <c r="A6" s="43" t="s">
        <v>129</v>
      </c>
      <c r="B6" s="30" t="str">
        <f>_xll.qlCallability(B3,B4,B5)</f>
        <v>欣[test_bonds.xlsx]Callability!R6C2Callability,A</v>
      </c>
    </row>
    <row r="7" spans="1:2" x14ac:dyDescent="0.25">
      <c r="A7" s="53" t="s">
        <v>130</v>
      </c>
      <c r="B7" s="54" t="str">
        <f>_xll.qlCallabilityPrice(B6,B6)</f>
        <v>欣[test_bonds.xlsx]Callability!R7C2BondPrice,A</v>
      </c>
    </row>
    <row r="8" spans="1:2" x14ac:dyDescent="0.25">
      <c r="A8" s="53" t="s">
        <v>131</v>
      </c>
      <c r="B8" s="56">
        <f>_xll.qlCallabilityDate(B6,B6)</f>
        <v>46357</v>
      </c>
    </row>
    <row r="9" spans="1:2" x14ac:dyDescent="0.25">
      <c r="A9" s="53" t="s">
        <v>132</v>
      </c>
      <c r="B9" s="54" t="str">
        <f>_xll.qlCallabilityType(B6,B6)</f>
        <v>PUT</v>
      </c>
    </row>
    <row r="11" spans="1:2" x14ac:dyDescent="0.25">
      <c r="A11" s="44" t="s">
        <v>117</v>
      </c>
      <c r="B11" s="20" t="str">
        <f>_xll.qlBondPrice(100,"clean")</f>
        <v>欣[test_bonds.xlsx]Callability!R11C2BondPrice,A</v>
      </c>
    </row>
    <row r="12" spans="1:2" x14ac:dyDescent="0.25">
      <c r="A12" s="27" t="s">
        <v>128</v>
      </c>
      <c r="B12" s="42">
        <v>46357</v>
      </c>
    </row>
    <row r="13" spans="1:2" x14ac:dyDescent="0.25">
      <c r="A13" s="27" t="s">
        <v>209</v>
      </c>
      <c r="B13" s="23">
        <v>4.4999999999999998E-2</v>
      </c>
    </row>
    <row r="14" spans="1:2" x14ac:dyDescent="0.25">
      <c r="A14" s="43" t="s">
        <v>208</v>
      </c>
      <c r="B14" s="30" t="str">
        <f>_xll.qlSoftCallability(B11,B12,B13)</f>
        <v>欣[test_bonds.xlsx]Callability!R14C2SoftCallability,A</v>
      </c>
    </row>
    <row r="15" spans="1:2" x14ac:dyDescent="0.25">
      <c r="A15" s="53" t="s">
        <v>130</v>
      </c>
      <c r="B15" s="54" t="str">
        <f>_xll.qlCallabilityPrice(B14,B14)</f>
        <v>欣[test_bonds.xlsx]Callability!R15C2BondPrice,A</v>
      </c>
    </row>
    <row r="16" spans="1:2" x14ac:dyDescent="0.25">
      <c r="A16" s="53" t="s">
        <v>131</v>
      </c>
      <c r="B16" s="56">
        <f>_xll.qlCallabilityDate(B14,B14)</f>
        <v>46357</v>
      </c>
    </row>
    <row r="17" spans="1:2" x14ac:dyDescent="0.25">
      <c r="A17" s="53" t="s">
        <v>132</v>
      </c>
      <c r="B17" s="54" t="str">
        <f>_xll.qlCallabilityType(B14,B14)</f>
        <v>CALL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1FE9-B1FE-4762-AEA9-E4B3F6C519F7}">
  <dimension ref="A1:C2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7.7109375" customWidth="1"/>
    <col min="2" max="3" width="80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x14ac:dyDescent="0.25">
      <c r="A6" s="31" t="s">
        <v>73</v>
      </c>
      <c r="B6" s="32">
        <v>45659</v>
      </c>
      <c r="C6" s="33">
        <v>45659</v>
      </c>
    </row>
    <row r="7" spans="1:3" x14ac:dyDescent="0.25">
      <c r="A7" s="21" t="s">
        <v>74</v>
      </c>
      <c r="B7" s="34">
        <v>48215</v>
      </c>
      <c r="C7" s="35">
        <v>48215</v>
      </c>
    </row>
    <row r="8" spans="1:3" x14ac:dyDescent="0.25">
      <c r="A8" s="21" t="s">
        <v>46</v>
      </c>
      <c r="B8" s="36" t="s">
        <v>158</v>
      </c>
      <c r="C8" s="37" t="s">
        <v>158</v>
      </c>
    </row>
    <row r="9" spans="1:3" x14ac:dyDescent="0.25">
      <c r="A9" s="21" t="s">
        <v>60</v>
      </c>
      <c r="B9" s="36" t="str">
        <f>_xll.qlCalendar("TARGET")</f>
        <v>TARGET</v>
      </c>
      <c r="C9" s="37" t="str">
        <f>_xll.qlCalendar("TARGET")</f>
        <v>TARGET</v>
      </c>
    </row>
    <row r="10" spans="1:3" x14ac:dyDescent="0.25">
      <c r="A10" s="21" t="s">
        <v>47</v>
      </c>
      <c r="B10" s="36" t="s">
        <v>53</v>
      </c>
      <c r="C10" s="37" t="s">
        <v>53</v>
      </c>
    </row>
    <row r="11" spans="1:3" x14ac:dyDescent="0.25">
      <c r="A11" s="21" t="s">
        <v>75</v>
      </c>
      <c r="B11" s="36" t="s">
        <v>53</v>
      </c>
      <c r="C11" s="37" t="s">
        <v>53</v>
      </c>
    </row>
    <row r="12" spans="1:3" x14ac:dyDescent="0.25">
      <c r="A12" s="21" t="s">
        <v>77</v>
      </c>
      <c r="B12" s="36" t="s">
        <v>159</v>
      </c>
      <c r="C12" s="37" t="s">
        <v>159</v>
      </c>
    </row>
    <row r="13" spans="1:3" x14ac:dyDescent="0.25">
      <c r="A13" s="21" t="s">
        <v>78</v>
      </c>
      <c r="B13" s="36" t="b">
        <v>0</v>
      </c>
      <c r="C13" s="37" t="b">
        <v>0</v>
      </c>
    </row>
    <row r="14" spans="1:3" x14ac:dyDescent="0.25">
      <c r="A14" s="38" t="s">
        <v>65</v>
      </c>
      <c r="B14" s="29" t="str">
        <f>_xll.qlSchedule(B6,B7,B8,B9,B10,B11,B12,B13,,,B2)</f>
        <v>欣[test_bonds.xlsx]CallableFixedRateBond!R14C2Schedule,A</v>
      </c>
      <c r="C14" s="30" t="str">
        <f>_xll.qlSchedule(C6,C7,C8,C9,C10,C11,C12,C13,,,C2)</f>
        <v>欣[test_bonds.xlsx]CallableFixedRateBond!R14C3Schedule,A</v>
      </c>
    </row>
    <row r="15" spans="1:3" x14ac:dyDescent="0.25">
      <c r="A15" s="121" t="s">
        <v>66</v>
      </c>
      <c r="B15" s="23">
        <v>0.03</v>
      </c>
      <c r="C15" s="23">
        <v>0.03</v>
      </c>
    </row>
    <row r="16" spans="1:3" x14ac:dyDescent="0.25">
      <c r="A16" s="121"/>
      <c r="B16" s="23">
        <v>0.03</v>
      </c>
      <c r="C16" s="23">
        <v>0.03</v>
      </c>
    </row>
    <row r="17" spans="1:3" x14ac:dyDescent="0.25">
      <c r="A17" s="121"/>
      <c r="B17" s="23">
        <v>0.03</v>
      </c>
      <c r="C17" s="23">
        <v>0.03</v>
      </c>
    </row>
    <row r="18" spans="1:3" x14ac:dyDescent="0.25">
      <c r="A18" s="24" t="s">
        <v>83</v>
      </c>
      <c r="B18" s="22" t="s">
        <v>148</v>
      </c>
      <c r="C18" s="23" t="s">
        <v>148</v>
      </c>
    </row>
    <row r="19" spans="1:3" x14ac:dyDescent="0.25">
      <c r="A19" s="24" t="s">
        <v>84</v>
      </c>
      <c r="B19" s="22" t="s">
        <v>64</v>
      </c>
      <c r="C19" s="23" t="s">
        <v>64</v>
      </c>
    </row>
    <row r="20" spans="1:3" x14ac:dyDescent="0.25">
      <c r="A20" s="24" t="s">
        <v>63</v>
      </c>
      <c r="B20" s="22">
        <v>100</v>
      </c>
      <c r="C20" s="23">
        <v>100</v>
      </c>
    </row>
    <row r="21" spans="1:3" x14ac:dyDescent="0.25">
      <c r="A21" s="24" t="s">
        <v>17</v>
      </c>
      <c r="B21" s="41">
        <v>45659</v>
      </c>
      <c r="C21" s="42">
        <v>45659</v>
      </c>
    </row>
    <row r="22" spans="1:3" x14ac:dyDescent="0.25">
      <c r="A22" s="31" t="s">
        <v>120</v>
      </c>
      <c r="B22" s="39" t="str">
        <f>_xll.qlBondPrice(105,"CLEAN",B14)</f>
        <v>欣[test_bonds.xlsx]CallableFixedRateBond!R22C2BondPrice,A</v>
      </c>
      <c r="C22" s="40" t="str">
        <f>_xll.qlBondPrice(105,"CLEAN",C14)</f>
        <v>欣[test_bonds.xlsx]CallableFixedRateBond!R22C3BondPrice,A</v>
      </c>
    </row>
    <row r="23" spans="1:3" x14ac:dyDescent="0.25">
      <c r="A23" s="21" t="s">
        <v>126</v>
      </c>
      <c r="B23" s="41" t="s">
        <v>160</v>
      </c>
      <c r="C23" s="42" t="s">
        <v>160</v>
      </c>
    </row>
    <row r="24" spans="1:3" x14ac:dyDescent="0.25">
      <c r="A24" s="21" t="s">
        <v>134</v>
      </c>
      <c r="B24" s="41">
        <v>46754</v>
      </c>
      <c r="C24" s="42">
        <v>46754</v>
      </c>
    </row>
    <row r="25" spans="1:3" x14ac:dyDescent="0.25">
      <c r="A25" s="38" t="s">
        <v>133</v>
      </c>
      <c r="B25" s="29" t="str">
        <f>_xll.qlCallability(B22,B23,B24,B22)</f>
        <v>欣[test_bonds.xlsx]CallableFixedRateBond!R25C2Callability,A</v>
      </c>
      <c r="C25" s="30" t="str">
        <f>_xll.qlCallability(C22,C23,C24,C22)</f>
        <v>欣[test_bonds.xlsx]CallableFixedRateBond!R25C3Callability,A</v>
      </c>
    </row>
    <row r="26" spans="1:3" x14ac:dyDescent="0.25">
      <c r="A26" s="24" t="s">
        <v>69</v>
      </c>
      <c r="B26" s="22" t="s">
        <v>76</v>
      </c>
      <c r="C26" s="23" t="s">
        <v>76</v>
      </c>
    </row>
    <row r="27" spans="1:3" x14ac:dyDescent="0.25">
      <c r="A27" s="24" t="s">
        <v>70</v>
      </c>
      <c r="B27" s="22" t="str">
        <f>_xll.qlCalendar("TARGET")</f>
        <v>TARGET</v>
      </c>
      <c r="C27" s="23" t="str">
        <f>_xll.qlCalendar("TARGET")</f>
        <v>TARGET</v>
      </c>
    </row>
    <row r="28" spans="1:3" x14ac:dyDescent="0.25">
      <c r="A28" s="24" t="s">
        <v>71</v>
      </c>
      <c r="B28" s="22"/>
      <c r="C28" s="23" t="s">
        <v>64</v>
      </c>
    </row>
    <row r="29" spans="1:3" x14ac:dyDescent="0.25">
      <c r="A29" s="24" t="s">
        <v>72</v>
      </c>
      <c r="B29" s="22"/>
      <c r="C29" s="23" t="b">
        <v>1</v>
      </c>
    </row>
    <row r="30" spans="1:3" x14ac:dyDescent="0.25">
      <c r="A30" s="69" t="s">
        <v>135</v>
      </c>
      <c r="B30" s="67" t="str">
        <f>_xll.qlCallableFixedRateBond(B4,B5,B14,B15:B17,B18,B19,B20,B21,B25,,,,,B25)</f>
        <v>欣[test_bonds.xlsx]CallableFixedRateBond!R30C2CallableFixedRateBond,A</v>
      </c>
      <c r="C30" s="68" t="str">
        <f>_xll.qlCallableFixedRateBond(C4,C5,C14,C15:C17,C18,C19,C20,C21,C25,C26,C27,C28,C29,C25)</f>
        <v>欣[test_bonds.xlsx]CallableFixedRateBond!R30C3CallableFixedRateBond,A</v>
      </c>
    </row>
    <row r="31" spans="1:3" x14ac:dyDescent="0.25">
      <c r="A31" s="53" t="s">
        <v>20</v>
      </c>
      <c r="B31" s="19">
        <f>_xll.qlBondNextCouponRate(B30,,B30)</f>
        <v>0.03</v>
      </c>
      <c r="C31" s="20">
        <f>_xll.qlBondNextCouponRate(C30,,C30)</f>
        <v>0.03</v>
      </c>
    </row>
    <row r="32" spans="1:3" x14ac:dyDescent="0.25">
      <c r="A32" s="53" t="s">
        <v>21</v>
      </c>
      <c r="B32" s="67">
        <f>_xll.qlBondPreviousCouponRate(B30,,B30)</f>
        <v>0</v>
      </c>
      <c r="C32" s="68">
        <f>_xll.qlBondPreviousCouponRate(C30,,C30)</f>
        <v>0</v>
      </c>
    </row>
    <row r="33" spans="1:3" x14ac:dyDescent="0.25">
      <c r="A33" s="55" t="s">
        <v>22</v>
      </c>
      <c r="B33" s="41">
        <f>_xll.qlBondNextCashFlowDate(B30,,B30)</f>
        <v>45840</v>
      </c>
      <c r="C33" s="42">
        <f>_xll.qlBondNextCashFlowDate(C30,,C30)</f>
        <v>45840</v>
      </c>
    </row>
    <row r="34" spans="1:3" x14ac:dyDescent="0.25">
      <c r="A34" s="53" t="s">
        <v>23</v>
      </c>
      <c r="B34" s="94">
        <f>_xll.qlBondPreviousCashFlowDate(B30,,B30)</f>
        <v>0</v>
      </c>
      <c r="C34" s="87">
        <f>_xll.qlBondPreviousCashFlowDate(C30,,C30)</f>
        <v>0</v>
      </c>
    </row>
    <row r="35" spans="1:3" x14ac:dyDescent="0.25">
      <c r="A35" s="53" t="s">
        <v>24</v>
      </c>
      <c r="B35" s="22">
        <f>_xll.qlBondSettlementDays(B30,B30)</f>
        <v>2</v>
      </c>
      <c r="C35" s="23">
        <f>_xll.qlBondSettlementDays(C30,C30)</f>
        <v>2</v>
      </c>
    </row>
    <row r="36" spans="1:3" x14ac:dyDescent="0.25">
      <c r="A36" s="53" t="s">
        <v>25</v>
      </c>
      <c r="B36" s="94">
        <f>_xll.qlBondSettlementDate(B30,,B30)</f>
        <v>45663</v>
      </c>
      <c r="C36" s="87">
        <f>_xll.qlBondSettlementDate(C30,,C30)</f>
        <v>45663</v>
      </c>
    </row>
    <row r="37" spans="1:3" x14ac:dyDescent="0.25">
      <c r="A37" s="55" t="s">
        <v>26</v>
      </c>
      <c r="B37" s="22" t="b">
        <f>_xll.qlBondIsTradable(B30,,B30)</f>
        <v>1</v>
      </c>
      <c r="C37" s="23" t="b">
        <f>_xll.qlBondIsTradable(C30,,C30)</f>
        <v>1</v>
      </c>
    </row>
    <row r="38" spans="1:3" x14ac:dyDescent="0.25">
      <c r="A38" s="53" t="s">
        <v>27</v>
      </c>
      <c r="B38" s="94">
        <f>_xll.qlBondStartDate(B30,B30)</f>
        <v>45659</v>
      </c>
      <c r="C38" s="87">
        <f>_xll.qlBondStartDate(C30,C30)</f>
        <v>45659</v>
      </c>
    </row>
    <row r="39" spans="1:3" x14ac:dyDescent="0.25">
      <c r="A39" s="53" t="s">
        <v>28</v>
      </c>
      <c r="B39" s="41">
        <f>_xll.qlBondMaturityDate(B30,B30)</f>
        <v>48215</v>
      </c>
      <c r="C39" s="42">
        <f>_xll.qlBondMaturityDate(C30,C30)</f>
        <v>48215</v>
      </c>
    </row>
    <row r="40" spans="1:3" x14ac:dyDescent="0.25">
      <c r="A40" s="53" t="s">
        <v>29</v>
      </c>
      <c r="B40" s="67">
        <f>_xll.qlBondIssueDate(B30,B30)</f>
        <v>45659</v>
      </c>
      <c r="C40" s="68">
        <f>_xll.qlBondIssueDate(C30,C30)</f>
        <v>45659</v>
      </c>
    </row>
    <row r="41" spans="1:3" x14ac:dyDescent="0.25">
      <c r="A41" s="55" t="s">
        <v>30</v>
      </c>
      <c r="B41" s="22" t="str">
        <f>_xll.qlBondCashFlows(B30,B30)</f>
        <v>欣[test_bonds.xlsx]CallableFixedRateBond!R41C2CashFlow,A</v>
      </c>
      <c r="C41" s="23" t="str">
        <f>_xll.qlBondCashFlows(C30,C30)</f>
        <v>欣[test_bonds.xlsx]CallableFixedRateBond!R41C3CashFlow,A</v>
      </c>
    </row>
    <row r="42" spans="1:3" x14ac:dyDescent="0.25">
      <c r="A42" s="53" t="s">
        <v>57</v>
      </c>
      <c r="B42" s="67" t="e">
        <f>FIND("RuntimeError: RuntimeError: multiple redemption cash flows given",_xll.qlBondRedemption(B30))</f>
        <v>#VALUE!</v>
      </c>
      <c r="C42" s="68" t="e">
        <f>FIND("RuntimeError: RuntimeError: multiple redemption cash flows given",_xll.qlBondRedemption(C30))</f>
        <v>#VALUE!</v>
      </c>
    </row>
    <row r="43" spans="1:3" x14ac:dyDescent="0.25">
      <c r="A43" s="53" t="s">
        <v>58</v>
      </c>
      <c r="B43" s="22" t="str">
        <f>_xll.qlBondRedemptions(B30,B30)</f>
        <v>欣[test_bonds.xlsx]CallableFixedRateBond!R43C2CashFlow,A</v>
      </c>
      <c r="C43" s="23" t="str">
        <f>_xll.qlBondRedemptions(C30,C30)</f>
        <v>欣[test_bonds.xlsx]CallableFixedRateBond!R43C3CashFlow,A</v>
      </c>
    </row>
    <row r="44" spans="1:3" x14ac:dyDescent="0.25">
      <c r="A44" s="53" t="s">
        <v>31</v>
      </c>
      <c r="B44" s="67" t="str">
        <f>_xll.qlBondCalendar(B30,B30)</f>
        <v>TARGET</v>
      </c>
      <c r="C44" s="68" t="str">
        <f>_xll.qlBondCalendar(C30,C30)</f>
        <v>TARGET</v>
      </c>
    </row>
    <row r="45" spans="1:3" x14ac:dyDescent="0.25">
      <c r="A45" s="55" t="s">
        <v>32</v>
      </c>
      <c r="B45" s="22">
        <f>_xll.qlBondNotional(B30,,B30)</f>
        <v>100</v>
      </c>
      <c r="C45" s="23">
        <f>_xll.qlBondNotional(C30,,C30)</f>
        <v>100</v>
      </c>
    </row>
    <row r="46" spans="1:3" x14ac:dyDescent="0.25">
      <c r="A46" s="55" t="s">
        <v>59</v>
      </c>
      <c r="B46" s="67">
        <f>_xll.qlBondNotionals(B30:B30,B30)</f>
        <v>100</v>
      </c>
      <c r="C46" s="68">
        <f>_xll.qlBondNotionals(C30:C30,C30)</f>
        <v>100</v>
      </c>
    </row>
    <row r="47" spans="1:3" x14ac:dyDescent="0.25">
      <c r="A47" s="44" t="s">
        <v>137</v>
      </c>
      <c r="B47" s="19">
        <v>0.2</v>
      </c>
      <c r="C47" s="20">
        <v>0.2</v>
      </c>
    </row>
    <row r="48" spans="1:3" x14ac:dyDescent="0.25">
      <c r="A48" s="27" t="s">
        <v>110</v>
      </c>
      <c r="B48" s="22" t="str">
        <f>_xll.qlFlatForward($B$1,0.03,"actual360",,,B30)</f>
        <v>欣[test_bonds.xlsx]CallableFixedRateBond!R48C2YieldTermStructureHandle,A</v>
      </c>
      <c r="C48" s="23" t="str">
        <f>_xll.qlFlatForward($B$1,0.03,"actual360",,,C30)</f>
        <v>欣[test_bonds.xlsx]CallableFixedRateBond!R48C3YieldTermStructureHandle,A</v>
      </c>
    </row>
    <row r="49" spans="1:3" x14ac:dyDescent="0.25">
      <c r="A49" s="43" t="s">
        <v>136</v>
      </c>
      <c r="B49" s="29" t="str">
        <f>_xll.qlBlackCallableFixedRateBondEngine(B47,B48,B48)</f>
        <v>欣[test_bonds.xlsx]CallableFixedRateBond!R49C2BlackCallableFixedRateBondEngine,A</v>
      </c>
      <c r="C49" s="30" t="str">
        <f>_xll.qlBlackCallableFixedRateBondEngine(C47,C48,C48)</f>
        <v>欣[test_bonds.xlsx]CallableFixedRateBond!R49C3BlackCallableFixedRateBondEngine,A</v>
      </c>
    </row>
    <row r="50" spans="1:3" x14ac:dyDescent="0.25">
      <c r="A50" s="27" t="s">
        <v>149</v>
      </c>
      <c r="B50" s="22" t="b">
        <f>_xll.qlInstrumentSetPricingEngine(B30,B49)</f>
        <v>1</v>
      </c>
      <c r="C50" s="23" t="b">
        <f>_xll.qlInstrumentSetPricingEngine(C30,C49)</f>
        <v>1</v>
      </c>
    </row>
    <row r="51" spans="1:3" x14ac:dyDescent="0.25">
      <c r="A51" s="26" t="s">
        <v>33</v>
      </c>
      <c r="B51" s="70">
        <f>_xll.qlBondCleanPrice(B30,B50)</f>
        <v>99.411363118905641</v>
      </c>
      <c r="C51" s="71">
        <f>_xll.qlBondCleanPrice(C30,C50)</f>
        <v>99.401463373482386</v>
      </c>
    </row>
    <row r="52" spans="1:3" x14ac:dyDescent="0.25">
      <c r="A52" s="45" t="s">
        <v>56</v>
      </c>
      <c r="B52" s="46">
        <v>2.8928264971926201E-2</v>
      </c>
      <c r="C52" s="47">
        <v>2.8928264971926201E-2</v>
      </c>
    </row>
    <row r="53" spans="1:3" x14ac:dyDescent="0.25">
      <c r="A53" s="28" t="s">
        <v>34</v>
      </c>
      <c r="B53" s="48">
        <f>_xll.qlBondCleanPrice2(B30,B52,"actual360","continuous",,,B50)</f>
        <v>100.27732450208939</v>
      </c>
      <c r="C53" s="49">
        <f>_xll.qlBondCleanPrice2(C30,C52,"actual360","continuous",,,C50)</f>
        <v>100.27732450208939</v>
      </c>
    </row>
    <row r="54" spans="1:3" x14ac:dyDescent="0.25">
      <c r="A54" s="26" t="s">
        <v>35</v>
      </c>
      <c r="B54" s="61">
        <f>_xll.qlBondDirtyPrice(B30,B50)</f>
        <v>99.444696452238972</v>
      </c>
      <c r="C54" s="62">
        <f>_xll.qlBondDirtyPrice(C30,C50)</f>
        <v>99.434796706815717</v>
      </c>
    </row>
    <row r="55" spans="1:3" x14ac:dyDescent="0.25">
      <c r="A55" s="50" t="s">
        <v>36</v>
      </c>
      <c r="B55" s="51">
        <f>_xll.qlBondDirtyPrice2(B30,B52,"actual360","CONTINUOUS","annual",,B50)</f>
        <v>100.31065783542272</v>
      </c>
      <c r="C55" s="52">
        <f>_xll.qlBondDirtyPrice2(C30,C52,"actual360","CONTINUOUS","annual",,C50)</f>
        <v>100.31065783542272</v>
      </c>
    </row>
    <row r="56" spans="1:3" x14ac:dyDescent="0.25">
      <c r="A56" s="26" t="s">
        <v>37</v>
      </c>
      <c r="B56" s="61">
        <f>_xll.qlBondYield(B30,"actual360","CONTINUOUS","annual",,,B50)</f>
        <v>3.0273594634523941E-2</v>
      </c>
      <c r="C56" s="62">
        <f>_xll.qlBondYield(C30,"actual360","CONTINUOUS","annual",,,C50)</f>
        <v>3.0289046398940006E-2</v>
      </c>
    </row>
    <row r="57" spans="1:3" x14ac:dyDescent="0.25">
      <c r="A57" s="45" t="s">
        <v>120</v>
      </c>
      <c r="B57" s="46" t="str">
        <f>_xll.qlBondPrice(B51,"clean",B51)</f>
        <v>欣[test_bonds.xlsx]CallableFixedRateBond!R57C2BondPrice,A</v>
      </c>
      <c r="C57" s="47" t="str">
        <f>_xll.qlBondPrice(C51,"clean",C51)</f>
        <v>欣[test_bonds.xlsx]CallableFixedRateBond!R57C3BondPrice,A</v>
      </c>
    </row>
    <row r="58" spans="1:3" x14ac:dyDescent="0.25">
      <c r="A58" s="28" t="s">
        <v>38</v>
      </c>
      <c r="B58" s="48">
        <f>_xll.qlBondYield2(B30,B57,"actual360","CONTINUOUS","annual",,,,,B57)</f>
        <v>3.0273594634523941E-2</v>
      </c>
      <c r="C58" s="49">
        <f>_xll.qlBondYield2(C30,C57,"actual360","CONTINUOUS","annual",,,,,C57)</f>
        <v>3.0289046398940006E-2</v>
      </c>
    </row>
    <row r="59" spans="1:3" x14ac:dyDescent="0.25">
      <c r="A59" s="45" t="s">
        <v>54</v>
      </c>
      <c r="B59" s="39">
        <v>45667</v>
      </c>
      <c r="C59" s="40">
        <v>45667</v>
      </c>
    </row>
    <row r="60" spans="1:3" x14ac:dyDescent="0.25">
      <c r="A60" s="28" t="s">
        <v>39</v>
      </c>
      <c r="B60" s="48">
        <f>_xll.qlBondAccruedAmount(B30,B59,B50)</f>
        <v>6.6666666666659324E-2</v>
      </c>
      <c r="C60" s="49">
        <f>_xll.qlBondAccruedAmount(C30,C59,C50)</f>
        <v>6.6666666666659324E-2</v>
      </c>
    </row>
    <row r="61" spans="1:3" x14ac:dyDescent="0.25">
      <c r="A61" s="55" t="s">
        <v>40</v>
      </c>
      <c r="B61" s="57">
        <f>_xll.qlBondSettlementValue(B30,B50)</f>
        <v>99.444696452238972</v>
      </c>
      <c r="C61" s="57">
        <f>_xll.qlBondSettlementValue(C30,C50)</f>
        <v>99.434796706815717</v>
      </c>
    </row>
    <row r="62" spans="1:3" x14ac:dyDescent="0.25">
      <c r="A62" s="55" t="s">
        <v>41</v>
      </c>
      <c r="B62" s="57">
        <f>_xll.qlBondSettlementValue2(B30,B51)</f>
        <v>99.444696452238972</v>
      </c>
      <c r="C62" s="57">
        <f>_xll.qlBondSettlementValue2(C30,C51)</f>
        <v>99.434796706815717</v>
      </c>
    </row>
    <row r="63" spans="1:3" x14ac:dyDescent="0.25">
      <c r="A63" s="58" t="s">
        <v>138</v>
      </c>
      <c r="B63" s="59" t="str">
        <f>_xll.qlCallableBondCallability(B30,B30)</f>
        <v>欣[test_bonds.xlsx]CallableFixedRateBond!R63C2Callability,A</v>
      </c>
      <c r="C63" s="59" t="str">
        <f>_xll.qlCallableBondCallability(C30,C30)</f>
        <v>欣[test_bonds.xlsx]CallableFixedRateBond!R63C3Callability,A</v>
      </c>
    </row>
    <row r="64" spans="1:3" x14ac:dyDescent="0.25">
      <c r="A64" s="45" t="s">
        <v>152</v>
      </c>
      <c r="B64" s="19" t="str">
        <f>_xll.qlBondPrice(B51,"Clean",B51)</f>
        <v>欣[test_bonds.xlsx]CallableFixedRateBond!R64C2BondPrice,A</v>
      </c>
      <c r="C64" s="20" t="str">
        <f>_xll.qlBondPrice(C51,"Clean",C51)</f>
        <v>欣[test_bonds.xlsx]CallableFixedRateBond!R64C3BondPrice,A</v>
      </c>
    </row>
    <row r="65" spans="1:3" x14ac:dyDescent="0.25">
      <c r="A65" s="25" t="s">
        <v>153</v>
      </c>
      <c r="B65" s="22" t="str">
        <f>_xll.qlFlatForward($B$1,0.03,"actual365fixed",,,B64)</f>
        <v>欣[test_bonds.xlsx]CallableFixedRateBond!R65C2YieldTermStructureHandle,A</v>
      </c>
      <c r="C65" s="23" t="str">
        <f>_xll.qlFlatForward($B$1,0.03,"actual365fixed",,,C64)</f>
        <v>欣[test_bonds.xlsx]CallableFixedRateBond!R65C3YieldTermStructureHandle,A</v>
      </c>
    </row>
    <row r="66" spans="1:3" x14ac:dyDescent="0.25">
      <c r="A66" s="25" t="s">
        <v>154</v>
      </c>
      <c r="B66" s="60">
        <v>9.9999999999999995E-7</v>
      </c>
      <c r="C66" s="63">
        <v>9.9999999999999995E-7</v>
      </c>
    </row>
    <row r="67" spans="1:3" x14ac:dyDescent="0.25">
      <c r="A67" s="25" t="s">
        <v>155</v>
      </c>
      <c r="B67" s="22">
        <v>100</v>
      </c>
      <c r="C67" s="23">
        <v>100</v>
      </c>
    </row>
    <row r="68" spans="1:3" x14ac:dyDescent="0.25">
      <c r="A68" s="25" t="s">
        <v>156</v>
      </c>
      <c r="B68" s="22">
        <v>0.01</v>
      </c>
      <c r="C68" s="23">
        <v>0.01</v>
      </c>
    </row>
    <row r="69" spans="1:3" x14ac:dyDescent="0.25">
      <c r="A69" s="25" t="s">
        <v>157</v>
      </c>
      <c r="B69" s="22">
        <v>0.5</v>
      </c>
      <c r="C69" s="23">
        <v>0.5</v>
      </c>
    </row>
    <row r="70" spans="1:3" x14ac:dyDescent="0.25">
      <c r="A70" s="64" t="s">
        <v>139</v>
      </c>
      <c r="B70" s="65">
        <f>_xll.qlCallableBondImpliedVolatility(B30,B64,B65,B66,B67,B68,B69,B65)</f>
        <v>0.26393116080354267</v>
      </c>
      <c r="C70" s="66">
        <f>_xll.qlCallableBondImpliedVolatility(C30,C64,C65,C66,C67,C68,C69,C65)</f>
        <v>0.26212412019966747</v>
      </c>
    </row>
    <row r="71" spans="1:3" x14ac:dyDescent="0.25">
      <c r="A71" s="96" t="s">
        <v>141</v>
      </c>
      <c r="B71" s="97">
        <f>_xll.qlCallableBondCleanPriceOAS(B30,0.3,B48,"actual/360","simple","annual",,B50)</f>
        <v>99.378220410846438</v>
      </c>
      <c r="C71" s="98">
        <f>_xll.qlCallableBondCleanPriceOAS(C30,0.3,C48,"actual/360","simple","annual",,C50)</f>
        <v>99.368323964788402</v>
      </c>
    </row>
    <row r="72" spans="1:3" x14ac:dyDescent="0.25">
      <c r="A72" s="26" t="s">
        <v>140</v>
      </c>
      <c r="B72" s="22">
        <f>_xll.qlCallableBondOAS(B30,B71,B48,"30/360","compounded","Annual",B36,0.0000000001,100,0,B71)</f>
        <v>0</v>
      </c>
      <c r="C72" s="23">
        <f>_xll.qlCallableBondOAS(C30,C71,C48,"30/360","compounded","Annual",,,,,C71)</f>
        <v>0</v>
      </c>
    </row>
    <row r="73" spans="1:3" x14ac:dyDescent="0.25">
      <c r="A73" s="50" t="s">
        <v>142</v>
      </c>
      <c r="B73" s="67">
        <f>_xll.qlCallableBondEffectiveDuration(B30,0.3,B48,"actual/360","compounded","annual",,B50)</f>
        <v>0</v>
      </c>
      <c r="C73" s="68">
        <f>_xll.qlCallableBondEffectiveDuration(C30,0.3,C48,"actual/360","compounded","annual",,C50)</f>
        <v>0</v>
      </c>
    </row>
    <row r="74" spans="1:3" x14ac:dyDescent="0.25">
      <c r="A74" s="26" t="s">
        <v>143</v>
      </c>
      <c r="B74" s="22">
        <f>_xll.qlCallableBondEffectiveConvexity(B30,0.3,B48,"actual/360","compounded","annual",,B50)</f>
        <v>0</v>
      </c>
      <c r="C74" s="23">
        <f>_xll.qlCallableBondEffectiveConvexity(C30,0.3,C48,"actual/360","compounded","annual",,C50)</f>
        <v>0</v>
      </c>
    </row>
    <row r="75" spans="1:3" x14ac:dyDescent="0.25">
      <c r="A75" s="45" t="s">
        <v>153</v>
      </c>
      <c r="B75" s="46" t="str">
        <f>_xll.qlFlatForward($B$1,0.03,"actual365fixed",,,B74)</f>
        <v>欣[test_bonds.xlsx]CallableFixedRateBond!R75C2YieldTermStructureHandle,A</v>
      </c>
      <c r="C75" s="47" t="str">
        <f>_xll.qlFlatForward($B$1,0.03,"actual365fixed",,,C74)</f>
        <v>欣[test_bonds.xlsx]CallableFixedRateBond!R75C3YieldTermStructureHandle,A</v>
      </c>
    </row>
    <row r="76" spans="1:3" x14ac:dyDescent="0.25">
      <c r="A76" s="25" t="s">
        <v>162</v>
      </c>
      <c r="B76" s="61">
        <v>5.0000000000000001E-3</v>
      </c>
      <c r="C76" s="62">
        <v>5.0000000000000001E-3</v>
      </c>
    </row>
    <row r="77" spans="1:3" x14ac:dyDescent="0.25">
      <c r="A77" s="25" t="s">
        <v>164</v>
      </c>
      <c r="B77" s="61" t="s">
        <v>167</v>
      </c>
      <c r="C77" s="62" t="s">
        <v>167</v>
      </c>
    </row>
    <row r="78" spans="1:3" x14ac:dyDescent="0.25">
      <c r="A78" s="25" t="s">
        <v>163</v>
      </c>
      <c r="B78" s="61" t="s">
        <v>168</v>
      </c>
      <c r="C78" s="62" t="s">
        <v>168</v>
      </c>
    </row>
    <row r="79" spans="1:3" x14ac:dyDescent="0.25">
      <c r="A79" s="25" t="s">
        <v>165</v>
      </c>
      <c r="B79" s="61" t="s">
        <v>169</v>
      </c>
      <c r="C79" s="62" t="s">
        <v>169</v>
      </c>
    </row>
    <row r="80" spans="1:3" x14ac:dyDescent="0.25">
      <c r="A80" s="25" t="s">
        <v>166</v>
      </c>
      <c r="B80" s="61"/>
      <c r="C80" s="62"/>
    </row>
    <row r="81" spans="1:3" x14ac:dyDescent="0.25">
      <c r="A81" s="28" t="s">
        <v>161</v>
      </c>
      <c r="B81" s="29">
        <f>_xll.qlBondCleanPriceFromZSpread(B30,B75,B76,B77,B78,B79,,B75)</f>
        <v>96.827373159451469</v>
      </c>
      <c r="C81" s="30">
        <f>_xll.qlBondCleanPriceFromZSpread(C30,C75,C76,C77,C78,C79,,C75)</f>
        <v>96.827373159451469</v>
      </c>
    </row>
    <row r="82" spans="1:3" x14ac:dyDescent="0.25">
      <c r="A82" s="24"/>
      <c r="B82" s="22"/>
      <c r="C82" s="23"/>
    </row>
    <row r="83" spans="1:3" x14ac:dyDescent="0.25">
      <c r="A83" s="18" t="s">
        <v>170</v>
      </c>
      <c r="B83" s="19" t="str">
        <f>_xll.qlCallableFixedRateBond(B4,B5,B14,B15:B17,B18,B19,B20,B21,B25,,,,,B30)</f>
        <v>欣[test_bonds.xlsx]CallableFixedRateBond!R83C2CallableFixedRateBond,A</v>
      </c>
      <c r="C83" s="20" t="str">
        <f>_xll.qlCallableFixedRateBond(C4,C5,C14,C15:C17,C18,C19,C20,C21,C25,C26,C27,C28,C29,C30)</f>
        <v>欣[test_bonds.xlsx]CallableFixedRateBond!R83C3CallableFixedRateBond,A</v>
      </c>
    </row>
    <row r="84" spans="1:3" x14ac:dyDescent="0.25">
      <c r="A84" s="21" t="s">
        <v>171</v>
      </c>
      <c r="B84" s="22" t="str">
        <f>_xll.qlFlatForward($B$1,0.02,"actual365fixed",,,B83)</f>
        <v>欣[test_bonds.xlsx]CallableFixedRateBond!R84C2YieldTermStructureHandle,A</v>
      </c>
      <c r="C84" s="22" t="str">
        <f>_xll.qlFlatForward($B$1,0.02,"actual365fixed",,,C83)</f>
        <v>欣[test_bonds.xlsx]CallableFixedRateBond!R84C3YieldTermStructureHandle,A</v>
      </c>
    </row>
    <row r="85" spans="1:3" x14ac:dyDescent="0.25">
      <c r="A85" s="21" t="s">
        <v>172</v>
      </c>
      <c r="B85" s="22">
        <v>0.03</v>
      </c>
      <c r="C85" s="23">
        <v>0.03</v>
      </c>
    </row>
    <row r="86" spans="1:3" x14ac:dyDescent="0.25">
      <c r="A86" s="21" t="s">
        <v>173</v>
      </c>
      <c r="B86" s="22">
        <v>0.01</v>
      </c>
      <c r="C86" s="23">
        <v>0.01</v>
      </c>
    </row>
    <row r="87" spans="1:3" x14ac:dyDescent="0.25">
      <c r="A87" s="24" t="s">
        <v>174</v>
      </c>
      <c r="B87" s="22" t="str">
        <f>_xll.qlHullWhite(B84,B85,B86,B84)</f>
        <v>欣[test_bonds.xlsx]CallableFixedRateBond!R87C2HullWhite,A</v>
      </c>
      <c r="C87" s="23" t="str">
        <f>_xll.qlHullWhite(C84,C85,C86)</f>
        <v>欣[test_bonds.xlsx]CallableFixedRateBond!R87C3HullWhite,A</v>
      </c>
    </row>
    <row r="88" spans="1:3" x14ac:dyDescent="0.25">
      <c r="A88" s="25" t="s">
        <v>175</v>
      </c>
      <c r="B88" s="22">
        <v>100</v>
      </c>
      <c r="C88" s="23">
        <v>100</v>
      </c>
    </row>
    <row r="89" spans="1:3" x14ac:dyDescent="0.25">
      <c r="A89" s="26" t="s">
        <v>176</v>
      </c>
      <c r="B89" s="22" t="str">
        <f>_xll.qlTreeCallableFixedRateBondEngine(B87,B88,,B87)</f>
        <v>欣[test_bonds.xlsx]CallableFixedRateBond!R89C2TreeCallableFixedRateBondEngine,A</v>
      </c>
      <c r="C89" s="23" t="str">
        <f>_xll.qlTreeCallableFixedRateBondEngine(C87,C88)</f>
        <v>欣[test_bonds.xlsx]CallableFixedRateBond!R89C3TreeCallableFixedRateBondEngine,A</v>
      </c>
    </row>
    <row r="90" spans="1:3" x14ac:dyDescent="0.25">
      <c r="A90" s="27" t="s">
        <v>149</v>
      </c>
      <c r="B90" s="22" t="b">
        <f>_xll.qlInstrumentSetPricingEngine(B83,B89,B89)</f>
        <v>1</v>
      </c>
      <c r="C90" s="23" t="b">
        <f>_xll.qlInstrumentSetPricingEngine(C83,C89)</f>
        <v>1</v>
      </c>
    </row>
    <row r="91" spans="1:3" x14ac:dyDescent="0.25">
      <c r="A91" s="28" t="s">
        <v>33</v>
      </c>
      <c r="B91" s="29">
        <f>_xll.qlBondCleanPrice(B83,B90)</f>
        <v>104.61923824416269</v>
      </c>
      <c r="C91" s="30">
        <f>_xll.qlBondCleanPrice(C83,C90)</f>
        <v>104.61923824416269</v>
      </c>
    </row>
    <row r="92" spans="1:3" x14ac:dyDescent="0.25">
      <c r="A92" s="18" t="s">
        <v>178</v>
      </c>
      <c r="B92" s="19" t="str">
        <f>_xll.qlCallableFixedRateBond(B4,B5,B14,B15:B17,B18,B19,B20,B21,B25,,,,,B30)</f>
        <v>欣[test_bonds.xlsx]CallableFixedRateBond!R92C2CallableFixedRateBond,A</v>
      </c>
      <c r="C92" s="20" t="str">
        <f>_xll.qlCallableFixedRateBond(C4,C5,C14,C15:C17,C18,C19,C20,C21,C25,C26,C27,C28,C29,C30)</f>
        <v>欣[test_bonds.xlsx]CallableFixedRateBond!R92C3CallableFixedRateBond,A</v>
      </c>
    </row>
    <row r="93" spans="1:3" x14ac:dyDescent="0.25">
      <c r="A93" s="21" t="s">
        <v>171</v>
      </c>
      <c r="B93" s="22" t="str">
        <f>_xll.qlFlatForward($B$1,0.02,"actual365fixed",,,B92)</f>
        <v>欣[test_bonds.xlsx]CallableFixedRateBond!R93C2YieldTermStructureHandle,A</v>
      </c>
      <c r="C93" s="23" t="str">
        <f>_xll.qlFlatForward($B$1,0.02,"actual365fixed",,,C92)</f>
        <v>欣[test_bonds.xlsx]CallableFixedRateBond!R93C3YieldTermStructureHandle,A</v>
      </c>
    </row>
    <row r="94" spans="1:3" x14ac:dyDescent="0.25">
      <c r="A94" s="21" t="s">
        <v>172</v>
      </c>
      <c r="B94" s="22">
        <v>0.03</v>
      </c>
      <c r="C94" s="23">
        <v>0.03</v>
      </c>
    </row>
    <row r="95" spans="1:3" x14ac:dyDescent="0.25">
      <c r="A95" s="21" t="s">
        <v>173</v>
      </c>
      <c r="B95" s="22">
        <v>0.01</v>
      </c>
      <c r="C95" s="23">
        <v>0.01</v>
      </c>
    </row>
    <row r="96" spans="1:3" x14ac:dyDescent="0.25">
      <c r="A96" s="24" t="s">
        <v>174</v>
      </c>
      <c r="B96" s="22" t="str">
        <f>_xll.qlHullWhite(B93,B94,B95,B93)</f>
        <v>欣[test_bonds.xlsx]CallableFixedRateBond!R96C2HullWhite,A</v>
      </c>
      <c r="C96" s="23" t="str">
        <f>_xll.qlHullWhite(C93,C94,C95,C93)</f>
        <v>欣[test_bonds.xlsx]CallableFixedRateBond!R96C3HullWhite,A</v>
      </c>
    </row>
    <row r="97" spans="1:3" x14ac:dyDescent="0.25">
      <c r="A97" s="25" t="s">
        <v>179</v>
      </c>
      <c r="B97" s="22" t="str">
        <f>_xll.qlTimeGridFromTimes(B104:B219,B96)</f>
        <v>欣[test_bonds.xlsx]CallableFixedRateBond!R97C2TimeGrid,A</v>
      </c>
      <c r="C97" s="23" t="str">
        <f>_xll.qlTimeGridFromTimes(B104:B219,C96)</f>
        <v>欣[test_bonds.xlsx]CallableFixedRateBond!R97C3TimeGrid,A</v>
      </c>
    </row>
    <row r="98" spans="1:3" x14ac:dyDescent="0.25">
      <c r="A98" s="26" t="s">
        <v>176</v>
      </c>
      <c r="B98" s="22" t="str">
        <f>_xll.qlTreeCallableFixedRateBondEngine2(B96,B97,,B97)</f>
        <v>欣[test_bonds.xlsx]CallableFixedRateBond!R98C2TreeCallableFixedRateBondEngine,A</v>
      </c>
      <c r="C98" s="23" t="str">
        <f>_xll.qlTreeCallableFixedRateBondEngine2(C96,C97,,C97)</f>
        <v>欣[test_bonds.xlsx]CallableFixedRateBond!R98C3TreeCallableFixedRateBondEngine,A</v>
      </c>
    </row>
    <row r="99" spans="1:3" x14ac:dyDescent="0.25">
      <c r="A99" s="27" t="s">
        <v>149</v>
      </c>
      <c r="B99" s="22" t="b">
        <f>_xll.qlInstrumentSetPricingEngine(B92,B98,B98)</f>
        <v>1</v>
      </c>
      <c r="C99" s="23" t="b">
        <f>_xll.qlInstrumentSetPricingEngine(C92,C98,C98)</f>
        <v>1</v>
      </c>
    </row>
    <row r="100" spans="1:3" x14ac:dyDescent="0.25">
      <c r="A100" s="28" t="s">
        <v>33</v>
      </c>
      <c r="B100" s="29">
        <f>_xll.qlBondCleanPrice(B92,B99)</f>
        <v>104.56342874994053</v>
      </c>
      <c r="C100" s="30">
        <f>_xll.qlBondCleanPrice(C92,C99)</f>
        <v>104.56342874994053</v>
      </c>
    </row>
    <row r="104" spans="1:3" x14ac:dyDescent="0.25">
      <c r="A104" t="s">
        <v>177</v>
      </c>
      <c r="B104" s="2">
        <v>0</v>
      </c>
    </row>
    <row r="105" spans="1:3" x14ac:dyDescent="0.25">
      <c r="B105" s="2">
        <v>0.49589041095890402</v>
      </c>
    </row>
    <row r="106" spans="1:3" x14ac:dyDescent="0.25">
      <c r="B106" s="2">
        <v>1</v>
      </c>
    </row>
    <row r="107" spans="1:3" x14ac:dyDescent="0.25">
      <c r="B107" s="2">
        <v>1.4958904109589</v>
      </c>
    </row>
    <row r="108" spans="1:3" x14ac:dyDescent="0.25">
      <c r="B108" s="2">
        <v>2.0054794520547898</v>
      </c>
    </row>
    <row r="109" spans="1:3" x14ac:dyDescent="0.25">
      <c r="B109" s="2">
        <v>2.4958904109589</v>
      </c>
    </row>
    <row r="110" spans="1:3" x14ac:dyDescent="0.25">
      <c r="B110" s="2">
        <v>3</v>
      </c>
    </row>
    <row r="111" spans="1:3" x14ac:dyDescent="0.25">
      <c r="B111" s="2">
        <v>3.0027397260273898</v>
      </c>
    </row>
    <row r="112" spans="1:3" x14ac:dyDescent="0.25">
      <c r="B112" s="2">
        <v>3.5013698630136898</v>
      </c>
    </row>
    <row r="113" spans="2:2" x14ac:dyDescent="0.25">
      <c r="B113" s="2">
        <v>4.0027397260273903</v>
      </c>
    </row>
    <row r="114" spans="2:2" x14ac:dyDescent="0.25">
      <c r="B114" s="2">
        <v>4.4986301369863</v>
      </c>
    </row>
    <row r="115" spans="2:2" x14ac:dyDescent="0.25">
      <c r="B115" s="2">
        <v>5.0027397260273903</v>
      </c>
    </row>
    <row r="116" spans="2:2" x14ac:dyDescent="0.25">
      <c r="B116" s="2">
        <v>5.4986301369863</v>
      </c>
    </row>
    <row r="117" spans="2:2" x14ac:dyDescent="0.25">
      <c r="B117" s="2">
        <v>6.0027397260273903</v>
      </c>
    </row>
    <row r="118" spans="2:2" x14ac:dyDescent="0.25">
      <c r="B118" s="2">
        <v>6.4986301369863</v>
      </c>
    </row>
    <row r="119" spans="2:2" x14ac:dyDescent="0.25">
      <c r="B119" s="2">
        <v>7.0027397260273903</v>
      </c>
    </row>
    <row r="120" spans="2:2" x14ac:dyDescent="0.25">
      <c r="B120" s="2">
        <v>7.0077397260273901</v>
      </c>
    </row>
    <row r="121" spans="2:2" x14ac:dyDescent="0.25">
      <c r="B121" s="2">
        <v>7.01273972602739</v>
      </c>
    </row>
    <row r="122" spans="2:2" x14ac:dyDescent="0.25">
      <c r="B122" s="2">
        <v>7.0177397260273899</v>
      </c>
    </row>
    <row r="123" spans="2:2" x14ac:dyDescent="0.25">
      <c r="B123" s="2">
        <v>7.0227397260273898</v>
      </c>
    </row>
    <row r="124" spans="2:2" x14ac:dyDescent="0.25">
      <c r="B124" s="2">
        <v>7.0277397260273897</v>
      </c>
    </row>
    <row r="125" spans="2:2" x14ac:dyDescent="0.25">
      <c r="B125" s="2">
        <v>7.0327397260273896</v>
      </c>
    </row>
    <row r="126" spans="2:2" x14ac:dyDescent="0.25">
      <c r="B126" s="2">
        <v>7.0377397260273904</v>
      </c>
    </row>
    <row r="127" spans="2:2" x14ac:dyDescent="0.25">
      <c r="B127" s="2">
        <v>7.0427397260273903</v>
      </c>
    </row>
    <row r="128" spans="2:2" x14ac:dyDescent="0.25">
      <c r="B128" s="2">
        <v>7.0477397260273902</v>
      </c>
    </row>
    <row r="129" spans="2:2" x14ac:dyDescent="0.25">
      <c r="B129" s="2">
        <v>7.0527397260273901</v>
      </c>
    </row>
    <row r="130" spans="2:2" x14ac:dyDescent="0.25">
      <c r="B130" s="2">
        <v>7.05773972602739</v>
      </c>
    </row>
    <row r="131" spans="2:2" x14ac:dyDescent="0.25">
      <c r="B131" s="2">
        <v>7.0627397260273899</v>
      </c>
    </row>
    <row r="132" spans="2:2" x14ac:dyDescent="0.25">
      <c r="B132" s="2">
        <v>7.0677397260273898</v>
      </c>
    </row>
    <row r="133" spans="2:2" x14ac:dyDescent="0.25">
      <c r="B133" s="2">
        <v>7.0727397260273897</v>
      </c>
    </row>
    <row r="134" spans="2:2" x14ac:dyDescent="0.25">
      <c r="B134" s="2">
        <v>7.0777397260273904</v>
      </c>
    </row>
    <row r="135" spans="2:2" x14ac:dyDescent="0.25">
      <c r="B135" s="2">
        <v>7.0827397260273903</v>
      </c>
    </row>
    <row r="136" spans="2:2" x14ac:dyDescent="0.25">
      <c r="B136" s="2">
        <v>7.0877397260273902</v>
      </c>
    </row>
    <row r="137" spans="2:2" x14ac:dyDescent="0.25">
      <c r="B137" s="2">
        <v>7.0927397260273901</v>
      </c>
    </row>
    <row r="138" spans="2:2" x14ac:dyDescent="0.25">
      <c r="B138" s="2">
        <v>7.09773972602739</v>
      </c>
    </row>
    <row r="139" spans="2:2" x14ac:dyDescent="0.25">
      <c r="B139" s="2">
        <v>7.1027397260273899</v>
      </c>
    </row>
    <row r="140" spans="2:2" x14ac:dyDescent="0.25">
      <c r="B140" s="2">
        <v>7.1077397260273898</v>
      </c>
    </row>
    <row r="141" spans="2:2" x14ac:dyDescent="0.25">
      <c r="B141" s="2">
        <v>7.1127397260273897</v>
      </c>
    </row>
    <row r="142" spans="2:2" x14ac:dyDescent="0.25">
      <c r="B142" s="2">
        <v>7.1177397260273896</v>
      </c>
    </row>
    <row r="143" spans="2:2" x14ac:dyDescent="0.25">
      <c r="B143" s="2">
        <v>7.1227397260273904</v>
      </c>
    </row>
    <row r="144" spans="2:2" x14ac:dyDescent="0.25">
      <c r="B144" s="2">
        <v>7.1277397260273903</v>
      </c>
    </row>
    <row r="145" spans="2:2" x14ac:dyDescent="0.25">
      <c r="B145" s="2">
        <v>7.1327397260273901</v>
      </c>
    </row>
    <row r="146" spans="2:2" x14ac:dyDescent="0.25">
      <c r="B146" s="2">
        <v>7.13773972602739</v>
      </c>
    </row>
    <row r="147" spans="2:2" x14ac:dyDescent="0.25">
      <c r="B147" s="2">
        <v>7.1427397260273899</v>
      </c>
    </row>
    <row r="148" spans="2:2" x14ac:dyDescent="0.25">
      <c r="B148" s="2">
        <v>7.1477397260273898</v>
      </c>
    </row>
    <row r="149" spans="2:2" x14ac:dyDescent="0.25">
      <c r="B149" s="2">
        <v>7.1527397260273897</v>
      </c>
    </row>
    <row r="150" spans="2:2" x14ac:dyDescent="0.25">
      <c r="B150" s="2">
        <v>7.1577397260273896</v>
      </c>
    </row>
    <row r="151" spans="2:2" x14ac:dyDescent="0.25">
      <c r="B151" s="2">
        <v>7.1627397260273904</v>
      </c>
    </row>
    <row r="152" spans="2:2" x14ac:dyDescent="0.25">
      <c r="B152" s="2">
        <v>7.1677397260273903</v>
      </c>
    </row>
    <row r="153" spans="2:2" x14ac:dyDescent="0.25">
      <c r="B153" s="2">
        <v>7.1727397260273902</v>
      </c>
    </row>
    <row r="154" spans="2:2" x14ac:dyDescent="0.25">
      <c r="B154" s="2">
        <v>7.1777397260273901</v>
      </c>
    </row>
    <row r="155" spans="2:2" x14ac:dyDescent="0.25">
      <c r="B155" s="2">
        <v>7.18273972602739</v>
      </c>
    </row>
    <row r="156" spans="2:2" x14ac:dyDescent="0.25">
      <c r="B156" s="2">
        <v>7.1877397260273899</v>
      </c>
    </row>
    <row r="157" spans="2:2" x14ac:dyDescent="0.25">
      <c r="B157" s="2">
        <v>7.1927397260273898</v>
      </c>
    </row>
    <row r="158" spans="2:2" x14ac:dyDescent="0.25">
      <c r="B158" s="2">
        <v>7.1977397260273897</v>
      </c>
    </row>
    <row r="159" spans="2:2" x14ac:dyDescent="0.25">
      <c r="B159" s="2">
        <v>7.2027397260273904</v>
      </c>
    </row>
    <row r="160" spans="2:2" x14ac:dyDescent="0.25">
      <c r="B160" s="2">
        <v>7.2077397260273903</v>
      </c>
    </row>
    <row r="161" spans="2:2" x14ac:dyDescent="0.25">
      <c r="B161" s="2">
        <v>7.2127397260273902</v>
      </c>
    </row>
    <row r="162" spans="2:2" x14ac:dyDescent="0.25">
      <c r="B162" s="2">
        <v>7.2177397260273901</v>
      </c>
    </row>
    <row r="163" spans="2:2" x14ac:dyDescent="0.25">
      <c r="B163" s="2">
        <v>7.22273972602739</v>
      </c>
    </row>
    <row r="164" spans="2:2" x14ac:dyDescent="0.25">
      <c r="B164" s="2">
        <v>7.2277397260273899</v>
      </c>
    </row>
    <row r="165" spans="2:2" x14ac:dyDescent="0.25">
      <c r="B165" s="2">
        <v>7.2327397260273898</v>
      </c>
    </row>
    <row r="166" spans="2:2" x14ac:dyDescent="0.25">
      <c r="B166" s="2">
        <v>7.2377397260273897</v>
      </c>
    </row>
    <row r="167" spans="2:2" x14ac:dyDescent="0.25">
      <c r="B167" s="2">
        <v>7.2427397260273896</v>
      </c>
    </row>
    <row r="168" spans="2:2" x14ac:dyDescent="0.25">
      <c r="B168" s="2">
        <v>7.2477397260273904</v>
      </c>
    </row>
    <row r="169" spans="2:2" x14ac:dyDescent="0.25">
      <c r="B169" s="2">
        <v>7.2527397260273903</v>
      </c>
    </row>
    <row r="170" spans="2:2" x14ac:dyDescent="0.25">
      <c r="B170" s="2">
        <v>7.2577397260273901</v>
      </c>
    </row>
    <row r="171" spans="2:2" x14ac:dyDescent="0.25">
      <c r="B171" s="2">
        <v>7.26273972602739</v>
      </c>
    </row>
    <row r="172" spans="2:2" x14ac:dyDescent="0.25">
      <c r="B172" s="2">
        <v>7.2677397260273899</v>
      </c>
    </row>
    <row r="173" spans="2:2" x14ac:dyDescent="0.25">
      <c r="B173" s="2">
        <v>7.2727397260273898</v>
      </c>
    </row>
    <row r="174" spans="2:2" x14ac:dyDescent="0.25">
      <c r="B174" s="2">
        <v>7.2777397260273897</v>
      </c>
    </row>
    <row r="175" spans="2:2" x14ac:dyDescent="0.25">
      <c r="B175" s="2">
        <v>7.2827397260273896</v>
      </c>
    </row>
    <row r="176" spans="2:2" x14ac:dyDescent="0.25">
      <c r="B176" s="2">
        <v>7.2877397260273904</v>
      </c>
    </row>
    <row r="177" spans="2:2" x14ac:dyDescent="0.25">
      <c r="B177" s="2">
        <v>7.2927397260273903</v>
      </c>
    </row>
    <row r="178" spans="2:2" x14ac:dyDescent="0.25">
      <c r="B178" s="2">
        <v>7.2977397260273902</v>
      </c>
    </row>
    <row r="179" spans="2:2" x14ac:dyDescent="0.25">
      <c r="B179" s="2">
        <v>7.3027397260273901</v>
      </c>
    </row>
    <row r="180" spans="2:2" x14ac:dyDescent="0.25">
      <c r="B180" s="2">
        <v>7.30773972602739</v>
      </c>
    </row>
    <row r="181" spans="2:2" x14ac:dyDescent="0.25">
      <c r="B181" s="2">
        <v>7.3127397260273899</v>
      </c>
    </row>
    <row r="182" spans="2:2" x14ac:dyDescent="0.25">
      <c r="B182" s="2">
        <v>7.3177397260273898</v>
      </c>
    </row>
    <row r="183" spans="2:2" x14ac:dyDescent="0.25">
      <c r="B183" s="2">
        <v>7.3227397260273897</v>
      </c>
    </row>
    <row r="184" spans="2:2" x14ac:dyDescent="0.25">
      <c r="B184" s="2">
        <v>7.3277397260273904</v>
      </c>
    </row>
    <row r="185" spans="2:2" x14ac:dyDescent="0.25">
      <c r="B185" s="2">
        <v>7.3327397260273903</v>
      </c>
    </row>
    <row r="186" spans="2:2" x14ac:dyDescent="0.25">
      <c r="B186" s="2">
        <v>7.3377397260273902</v>
      </c>
    </row>
    <row r="187" spans="2:2" x14ac:dyDescent="0.25">
      <c r="B187" s="2">
        <v>7.3427397260273901</v>
      </c>
    </row>
    <row r="188" spans="2:2" x14ac:dyDescent="0.25">
      <c r="B188" s="2">
        <v>7.34773972602739</v>
      </c>
    </row>
    <row r="189" spans="2:2" x14ac:dyDescent="0.25">
      <c r="B189" s="2">
        <v>7.3527397260273899</v>
      </c>
    </row>
    <row r="190" spans="2:2" x14ac:dyDescent="0.25">
      <c r="B190" s="2">
        <v>7.3577397260273898</v>
      </c>
    </row>
    <row r="191" spans="2:2" x14ac:dyDescent="0.25">
      <c r="B191" s="2">
        <v>7.3627397260273897</v>
      </c>
    </row>
    <row r="192" spans="2:2" x14ac:dyDescent="0.25">
      <c r="B192" s="2">
        <v>7.3677397260273896</v>
      </c>
    </row>
    <row r="193" spans="2:2" x14ac:dyDescent="0.25">
      <c r="B193" s="2">
        <v>7.3727397260273904</v>
      </c>
    </row>
    <row r="194" spans="2:2" x14ac:dyDescent="0.25">
      <c r="B194" s="2">
        <v>7.3777397260273903</v>
      </c>
    </row>
    <row r="195" spans="2:2" x14ac:dyDescent="0.25">
      <c r="B195" s="2">
        <v>7.3827397260273901</v>
      </c>
    </row>
    <row r="196" spans="2:2" x14ac:dyDescent="0.25">
      <c r="B196" s="2">
        <v>7.38773972602739</v>
      </c>
    </row>
    <row r="197" spans="2:2" x14ac:dyDescent="0.25">
      <c r="B197" s="2">
        <v>7.3927397260273899</v>
      </c>
    </row>
    <row r="198" spans="2:2" x14ac:dyDescent="0.25">
      <c r="B198" s="2">
        <v>7.3977397260273898</v>
      </c>
    </row>
    <row r="199" spans="2:2" x14ac:dyDescent="0.25">
      <c r="B199" s="2">
        <v>7.4027397260273897</v>
      </c>
    </row>
    <row r="200" spans="2:2" x14ac:dyDescent="0.25">
      <c r="B200" s="2">
        <v>7.4077397260273896</v>
      </c>
    </row>
    <row r="201" spans="2:2" x14ac:dyDescent="0.25">
      <c r="B201" s="2">
        <v>7.4127397260273904</v>
      </c>
    </row>
    <row r="202" spans="2:2" x14ac:dyDescent="0.25">
      <c r="B202" s="2">
        <v>7.4177397260273903</v>
      </c>
    </row>
    <row r="203" spans="2:2" x14ac:dyDescent="0.25">
      <c r="B203" s="2">
        <v>7.4227397260273902</v>
      </c>
    </row>
    <row r="204" spans="2:2" x14ac:dyDescent="0.25">
      <c r="B204" s="2">
        <v>0.42773972602739702</v>
      </c>
    </row>
    <row r="205" spans="2:2" x14ac:dyDescent="0.25">
      <c r="B205" s="2">
        <v>7.43273972602739</v>
      </c>
    </row>
    <row r="206" spans="2:2" x14ac:dyDescent="0.25">
      <c r="B206" s="2">
        <v>7.4377397260273899</v>
      </c>
    </row>
    <row r="207" spans="2:2" x14ac:dyDescent="0.25">
      <c r="B207" s="2">
        <v>7.4427397260273898</v>
      </c>
    </row>
    <row r="208" spans="2:2" x14ac:dyDescent="0.25">
      <c r="B208" s="2">
        <v>7.4477397260273897</v>
      </c>
    </row>
    <row r="209" spans="2:2" x14ac:dyDescent="0.25">
      <c r="B209" s="2">
        <v>7.4527397260273904</v>
      </c>
    </row>
    <row r="210" spans="2:2" x14ac:dyDescent="0.25">
      <c r="B210" s="2">
        <v>7.4577397260273903</v>
      </c>
    </row>
    <row r="211" spans="2:2" x14ac:dyDescent="0.25">
      <c r="B211" s="2">
        <v>7.4627397260273902</v>
      </c>
    </row>
    <row r="212" spans="2:2" x14ac:dyDescent="0.25">
      <c r="B212" s="2">
        <v>7.4677397260273901</v>
      </c>
    </row>
    <row r="213" spans="2:2" x14ac:dyDescent="0.25">
      <c r="B213" s="2">
        <v>7.47273972602739</v>
      </c>
    </row>
    <row r="214" spans="2:2" x14ac:dyDescent="0.25">
      <c r="B214" s="2">
        <v>7.4777397260273899</v>
      </c>
    </row>
    <row r="215" spans="2:2" x14ac:dyDescent="0.25">
      <c r="B215" s="2">
        <v>7.4827397260273898</v>
      </c>
    </row>
    <row r="216" spans="2:2" x14ac:dyDescent="0.25">
      <c r="B216" s="2">
        <v>7.4877397260273897</v>
      </c>
    </row>
    <row r="217" spans="2:2" x14ac:dyDescent="0.25">
      <c r="B217" s="2">
        <v>7.4927397260273896</v>
      </c>
    </row>
    <row r="218" spans="2:2" x14ac:dyDescent="0.25">
      <c r="B218" s="2">
        <v>7.4977397260273904</v>
      </c>
    </row>
    <row r="219" spans="2:2" x14ac:dyDescent="0.25">
      <c r="B219" s="2">
        <v>7.5027397260273903</v>
      </c>
    </row>
  </sheetData>
  <mergeCells count="1">
    <mergeCell ref="A15:A17"/>
  </mergeCells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F9C2-FD4D-4E7F-8154-C8E782972C6B}">
  <dimension ref="A1:C20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8" sqref="B8:C8"/>
    </sheetView>
  </sheetViews>
  <sheetFormatPr baseColWidth="10" defaultColWidth="11.5703125" defaultRowHeight="15" x14ac:dyDescent="0.25"/>
  <cols>
    <col min="1" max="1" width="44.140625" customWidth="1"/>
    <col min="2" max="3" width="82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44" t="s">
        <v>14</v>
      </c>
      <c r="B4" s="76">
        <v>2</v>
      </c>
      <c r="C4" s="77">
        <v>2</v>
      </c>
    </row>
    <row r="5" spans="1:3" x14ac:dyDescent="0.25">
      <c r="A5" s="27" t="s">
        <v>15</v>
      </c>
      <c r="B5" s="78">
        <v>100</v>
      </c>
      <c r="C5" s="79">
        <v>100</v>
      </c>
    </row>
    <row r="6" spans="1:3" x14ac:dyDescent="0.25">
      <c r="A6" s="27" t="s">
        <v>60</v>
      </c>
      <c r="B6" s="78" t="str">
        <f>_xll.qlCalendar("TARGET")</f>
        <v>TARGET</v>
      </c>
      <c r="C6" s="79" t="str">
        <f>_xll.qlCalendar("TARGET")</f>
        <v>TARGET</v>
      </c>
    </row>
    <row r="7" spans="1:3" x14ac:dyDescent="0.25">
      <c r="A7" s="27" t="s">
        <v>16</v>
      </c>
      <c r="B7" s="80">
        <v>48215</v>
      </c>
      <c r="C7" s="81">
        <v>48215</v>
      </c>
    </row>
    <row r="8" spans="1:3" x14ac:dyDescent="0.25">
      <c r="A8" s="27" t="s">
        <v>144</v>
      </c>
      <c r="B8" s="78" t="s">
        <v>148</v>
      </c>
      <c r="C8" s="79" t="s">
        <v>148</v>
      </c>
    </row>
    <row r="9" spans="1:3" x14ac:dyDescent="0.25">
      <c r="A9" s="27" t="s">
        <v>84</v>
      </c>
      <c r="B9" s="78"/>
      <c r="C9" s="79" t="s">
        <v>146</v>
      </c>
    </row>
    <row r="10" spans="1:3" x14ac:dyDescent="0.25">
      <c r="A10" s="27" t="s">
        <v>63</v>
      </c>
      <c r="B10" s="78"/>
      <c r="C10" s="79">
        <v>100</v>
      </c>
    </row>
    <row r="11" spans="1:3" x14ac:dyDescent="0.25">
      <c r="A11" s="27" t="s">
        <v>17</v>
      </c>
      <c r="B11" s="78"/>
      <c r="C11" s="81">
        <v>45659</v>
      </c>
    </row>
    <row r="12" spans="1:3" x14ac:dyDescent="0.25">
      <c r="A12" s="72" t="s">
        <v>120</v>
      </c>
      <c r="B12" s="82" t="str">
        <f>_xll.qlBondPrice(105,"CLEAN",B2)</f>
        <v>欣[test_bonds.xlsx]CallableZeroCouponBond!R12C2BondPrice,A</v>
      </c>
      <c r="C12" s="83" t="str">
        <f>_xll.qlBondPrice(105,"CLEAN",B2)</f>
        <v>欣[test_bonds.xlsx]CallableZeroCouponBond!R12C3BondPrice,A</v>
      </c>
    </row>
    <row r="13" spans="1:3" ht="14.25" customHeight="1" x14ac:dyDescent="0.25">
      <c r="A13" s="21" t="s">
        <v>126</v>
      </c>
      <c r="B13" s="80" t="s">
        <v>160</v>
      </c>
      <c r="C13" s="81" t="s">
        <v>160</v>
      </c>
    </row>
    <row r="14" spans="1:3" x14ac:dyDescent="0.25">
      <c r="A14" s="21" t="s">
        <v>134</v>
      </c>
      <c r="B14" s="80">
        <v>46754</v>
      </c>
      <c r="C14" s="81">
        <v>46754</v>
      </c>
    </row>
    <row r="15" spans="1:3" x14ac:dyDescent="0.25">
      <c r="A15" s="75" t="s">
        <v>133</v>
      </c>
      <c r="B15" s="84" t="str">
        <f>_xll.qlCallability(B12,B13,B14,B12)</f>
        <v>欣[test_bonds.xlsx]CallableZeroCouponBond!R15C2Callability,A</v>
      </c>
      <c r="C15" s="85" t="str">
        <f>_xll.qlCallability(C12,C13,C14)</f>
        <v>欣[test_bonds.xlsx]CallableZeroCouponBond!R15C3Callability,A</v>
      </c>
    </row>
    <row r="16" spans="1:3" x14ac:dyDescent="0.25">
      <c r="A16" s="53" t="s">
        <v>145</v>
      </c>
      <c r="B16" s="86" t="str">
        <f>_xll.qlCallableZeroCouponBond(B4,B5,B6,B7,B8,,,,B15,B15)</f>
        <v>欣[test_bonds.xlsx]CallableZeroCouponBond!R16C2CallableZeroCouponBond,A</v>
      </c>
      <c r="C16" s="86" t="str">
        <f>_xll.qlCallableZeroCouponBond(C4,C5,C6,C7,C8,C9,C10,C11,C15,C15)</f>
        <v>欣[test_bonds.xlsx]CallableZeroCouponBond!R16C3CallableZeroCouponBond,A</v>
      </c>
    </row>
    <row r="17" spans="1:3" x14ac:dyDescent="0.25">
      <c r="A17" s="69" t="s">
        <v>20</v>
      </c>
      <c r="B17" s="20">
        <f>FIND("RuntimeError: RuntimeError: no coupon paid at cashflow date January 2nd, 2032",_xll.qlBondNextCouponRate(B16))</f>
        <v>1</v>
      </c>
      <c r="C17" s="20">
        <f>FIND("RuntimeError: RuntimeError: no coupon paid at cashflow date January 2nd, 2032",_xll.qlBondNextCouponRate(C16))</f>
        <v>1</v>
      </c>
    </row>
    <row r="18" spans="1:3" x14ac:dyDescent="0.25">
      <c r="A18" s="69" t="s">
        <v>21</v>
      </c>
      <c r="B18" s="67">
        <f>_xll.qlBondPreviousCouponRate(B16,,B16)</f>
        <v>0</v>
      </c>
      <c r="C18" s="68">
        <f>_xll.qlBondPreviousCouponRate(C16)</f>
        <v>0</v>
      </c>
    </row>
    <row r="19" spans="1:3" x14ac:dyDescent="0.25">
      <c r="A19" s="50" t="s">
        <v>22</v>
      </c>
      <c r="B19" s="41">
        <f>_xll.qlBondNextCashFlowDate(B16,,B16)</f>
        <v>48215</v>
      </c>
      <c r="C19" s="42">
        <f>_xll.qlBondNextCashFlowDate(C16)</f>
        <v>48215</v>
      </c>
    </row>
    <row r="20" spans="1:3" x14ac:dyDescent="0.25">
      <c r="A20" s="69" t="s">
        <v>23</v>
      </c>
      <c r="B20" s="94">
        <f>_xll.qlBondPreviousCashFlowDate(B16,,B16)</f>
        <v>0</v>
      </c>
      <c r="C20" s="87">
        <f>_xll.qlBondPreviousCashFlowDate(C16)</f>
        <v>0</v>
      </c>
    </row>
    <row r="21" spans="1:3" x14ac:dyDescent="0.25">
      <c r="A21" s="69" t="s">
        <v>24</v>
      </c>
      <c r="B21" s="22">
        <f>_xll.qlBondSettlementDays(B16,B16)</f>
        <v>2</v>
      </c>
      <c r="C21" s="23">
        <f>_xll.qlBondSettlementDays(C16)</f>
        <v>2</v>
      </c>
    </row>
    <row r="22" spans="1:3" x14ac:dyDescent="0.25">
      <c r="A22" s="69" t="s">
        <v>25</v>
      </c>
      <c r="B22" s="94">
        <f>_xll.qlBondSettlementDate(B16,,B16)</f>
        <v>45663</v>
      </c>
      <c r="C22" s="87">
        <f>_xll.qlBondSettlementDate(C16)</f>
        <v>45663</v>
      </c>
    </row>
    <row r="23" spans="1:3" x14ac:dyDescent="0.25">
      <c r="A23" s="50" t="s">
        <v>26</v>
      </c>
      <c r="B23" s="22" t="b">
        <f>_xll.qlBondIsTradable(B16,,B16)</f>
        <v>1</v>
      </c>
      <c r="C23" s="23" t="b">
        <f>_xll.qlBondIsTradable(C16)</f>
        <v>1</v>
      </c>
    </row>
    <row r="24" spans="1:3" x14ac:dyDescent="0.25">
      <c r="A24" s="69" t="s">
        <v>27</v>
      </c>
      <c r="B24" s="94">
        <f>_xll.qlBondStartDate(B16,B16)</f>
        <v>48215</v>
      </c>
      <c r="C24" s="87">
        <f>_xll.qlBondStartDate(C16)</f>
        <v>48215</v>
      </c>
    </row>
    <row r="25" spans="1:3" x14ac:dyDescent="0.25">
      <c r="A25" s="69" t="s">
        <v>28</v>
      </c>
      <c r="B25" s="41">
        <f>_xll.qlBondMaturityDate(B16,B16)</f>
        <v>48215</v>
      </c>
      <c r="C25" s="42">
        <f>_xll.qlBondMaturityDate(C16)</f>
        <v>48215</v>
      </c>
    </row>
    <row r="26" spans="1:3" x14ac:dyDescent="0.25">
      <c r="A26" s="69" t="s">
        <v>29</v>
      </c>
      <c r="B26" s="67">
        <f>_xll.qlBondIssueDate(B16,B16)</f>
        <v>0</v>
      </c>
      <c r="C26" s="87">
        <f>_xll.qlBondIssueDate(C16)</f>
        <v>45659</v>
      </c>
    </row>
    <row r="27" spans="1:3" x14ac:dyDescent="0.25">
      <c r="A27" s="50" t="s">
        <v>30</v>
      </c>
      <c r="B27" s="22" t="str">
        <f>_xll.qlBondCashFlows(B16,B16)</f>
        <v>欣[test_bonds.xlsx]CallableZeroCouponBond!R27C2CashFlow,A</v>
      </c>
      <c r="C27" s="23" t="str">
        <f>_xll.qlBondCashFlows(C16)</f>
        <v>欣[test_bonds.xlsx]CallableZeroCouponBond!R27C3CashFlow,A</v>
      </c>
    </row>
    <row r="28" spans="1:3" x14ac:dyDescent="0.25">
      <c r="A28" s="69" t="s">
        <v>57</v>
      </c>
      <c r="B28" s="67" t="e">
        <f>FIND("RuntimeError: RuntimeError: multiple redemption cash flows given",_xll.qlBondRedemption(B16))</f>
        <v>#VALUE!</v>
      </c>
      <c r="C28" s="68" t="str">
        <f>_xll.qlBondRedemption(C16)</f>
        <v>欣[test_bonds.xlsx]CallableZeroCouponBond!R28C3CashFlow,A</v>
      </c>
    </row>
    <row r="29" spans="1:3" x14ac:dyDescent="0.25">
      <c r="A29" s="69" t="s">
        <v>58</v>
      </c>
      <c r="B29" s="22" t="str">
        <f>_xll.qlBondRedemptions(B16,B16)</f>
        <v>欣[test_bonds.xlsx]CallableZeroCouponBond!R29C2CashFlow,A</v>
      </c>
      <c r="C29" s="23" t="str">
        <f>_xll.qlBondRedemptions(C16)</f>
        <v>欣[test_bonds.xlsx]CallableZeroCouponBond!R29C3CashFlow,A</v>
      </c>
    </row>
    <row r="30" spans="1:3" x14ac:dyDescent="0.25">
      <c r="A30" s="69" t="s">
        <v>31</v>
      </c>
      <c r="B30" s="67" t="str">
        <f>_xll.qlBondCalendar(B16,B16)</f>
        <v>TARGET</v>
      </c>
      <c r="C30" s="68" t="str">
        <f>_xll.qlBondCalendar(C16)</f>
        <v>TARGET</v>
      </c>
    </row>
    <row r="31" spans="1:3" x14ac:dyDescent="0.25">
      <c r="A31" s="50" t="s">
        <v>32</v>
      </c>
      <c r="B31" s="22">
        <f>_xll.qlBondNotional(B16,,B16)</f>
        <v>100</v>
      </c>
      <c r="C31" s="68">
        <f>_xll.qlBondNotional(C16)</f>
        <v>100</v>
      </c>
    </row>
    <row r="32" spans="1:3" x14ac:dyDescent="0.25">
      <c r="A32" s="50" t="s">
        <v>59</v>
      </c>
      <c r="B32" s="67">
        <f>_xll.qlBondNotionals(B16:B16,B16)</f>
        <v>100</v>
      </c>
      <c r="C32" s="30">
        <f>_xll.qlBondNotionals(C16)</f>
        <v>100</v>
      </c>
    </row>
    <row r="33" spans="1:3" x14ac:dyDescent="0.25">
      <c r="A33" s="44" t="s">
        <v>137</v>
      </c>
      <c r="B33" s="22">
        <v>0.15</v>
      </c>
      <c r="C33" s="23">
        <v>0.15</v>
      </c>
    </row>
    <row r="34" spans="1:3" x14ac:dyDescent="0.25">
      <c r="A34" s="27" t="s">
        <v>110</v>
      </c>
      <c r="B34" s="22" t="str">
        <f>_xll.qlFlatForward(B2,0.03,"actual360","compounded","Quarterly",B16)</f>
        <v>欣[test_bonds.xlsx]CallableZeroCouponBond!R34C2YieldTermStructureHandle,A</v>
      </c>
      <c r="C34" s="22" t="str">
        <f>_xll.qlFlatForward(B2,0.03,"actual360","compounded","Quarterly",C16)</f>
        <v>欣[test_bonds.xlsx]CallableZeroCouponBond!R34C3YieldTermStructureHandle,A</v>
      </c>
    </row>
    <row r="35" spans="1:3" x14ac:dyDescent="0.25">
      <c r="A35" s="43" t="s">
        <v>136</v>
      </c>
      <c r="B35" s="29" t="str">
        <f>_xll.qlBlackCallableFixedRateBondEngine(B33,B34)</f>
        <v>欣[test_bonds.xlsx]CallableZeroCouponBond!R35C2BlackCallableFixedRateBondEngine,A</v>
      </c>
      <c r="C35" s="30" t="str">
        <f>_xll.qlBlackCallableFixedRateBondEngine(C33,C34)</f>
        <v>欣[test_bonds.xlsx]CallableZeroCouponBond!R35C3BlackCallableFixedRateBondEngine,A</v>
      </c>
    </row>
    <row r="36" spans="1:3" x14ac:dyDescent="0.25">
      <c r="A36" s="27" t="s">
        <v>149</v>
      </c>
      <c r="B36" s="22" t="b">
        <f>_xll.qlInstrumentSetPricingEngine(B16,B35)</f>
        <v>1</v>
      </c>
      <c r="C36" s="23" t="b">
        <f>_xll.qlInstrumentSetPricingEngine(C16,C35)</f>
        <v>1</v>
      </c>
    </row>
    <row r="37" spans="1:3" x14ac:dyDescent="0.25">
      <c r="A37" s="26" t="s">
        <v>33</v>
      </c>
      <c r="B37" s="61">
        <f>_xll.qlBondCleanPrice(B16,B36)</f>
        <v>80.906733580822063</v>
      </c>
      <c r="C37" s="62">
        <f>_xll.qlBondCleanPrice(C16,C36)</f>
        <v>80.906733580822063</v>
      </c>
    </row>
    <row r="38" spans="1:3" x14ac:dyDescent="0.25">
      <c r="A38" s="45" t="s">
        <v>56</v>
      </c>
      <c r="B38" s="46">
        <v>2.9888064241409308E-2</v>
      </c>
      <c r="C38" s="47">
        <v>2.9888064241409308E-2</v>
      </c>
    </row>
    <row r="39" spans="1:3" x14ac:dyDescent="0.25">
      <c r="A39" s="28" t="s">
        <v>34</v>
      </c>
      <c r="B39" s="48">
        <f>_xll.qlBondCleanPrice2(B16,B38,"actual360","continuous",,,B36)</f>
        <v>80.906730788838317</v>
      </c>
      <c r="C39" s="49">
        <f>_xll.qlBondCleanPrice2(C16,C38,"actual360","continuous")</f>
        <v>80.906730788838317</v>
      </c>
    </row>
    <row r="40" spans="1:3" x14ac:dyDescent="0.25">
      <c r="A40" s="26" t="s">
        <v>35</v>
      </c>
      <c r="B40" s="61">
        <f>_xll.qlBondDirtyPrice(B16,B36)</f>
        <v>80.906733580822063</v>
      </c>
      <c r="C40" s="62">
        <f>_xll.qlBondDirtyPrice(C16,C36)</f>
        <v>80.906733580822063</v>
      </c>
    </row>
    <row r="41" spans="1:3" x14ac:dyDescent="0.25">
      <c r="A41" s="50" t="s">
        <v>36</v>
      </c>
      <c r="B41" s="51">
        <f>_xll.qlBondDirtyPrice2(B16,B38,"actual360","CONTINUOUS","annual",,B36)</f>
        <v>80.906730788838317</v>
      </c>
      <c r="C41" s="52">
        <f>_xll.qlBondDirtyPrice2(C16,C38,"actual360","CONTINUOUS","annual")</f>
        <v>80.906730788838317</v>
      </c>
    </row>
    <row r="42" spans="1:3" x14ac:dyDescent="0.25">
      <c r="A42" s="26" t="s">
        <v>37</v>
      </c>
      <c r="B42" s="61">
        <f>_xll.qlBondYield(B16,"actual360","CONTINUOUS","annual",,,B36)</f>
        <v>2.9888059373415064E-2</v>
      </c>
      <c r="C42" s="62">
        <f>_xll.qlBondYield(C16,"actual360","CONTINUOUS","annual",,,C36)</f>
        <v>2.9888059373415064E-2</v>
      </c>
    </row>
    <row r="43" spans="1:3" x14ac:dyDescent="0.25">
      <c r="A43" s="45" t="s">
        <v>120</v>
      </c>
      <c r="B43" s="46" t="str">
        <f>_xll.qlBondPrice(B37,"clean",B36)</f>
        <v>欣[test_bonds.xlsx]CallableZeroCouponBond!R43C2BondPrice,A</v>
      </c>
      <c r="C43" s="47" t="str">
        <f>_xll.qlBondPrice(C37,"clean")</f>
        <v>欣[test_bonds.xlsx]CallableZeroCouponBond!R43C3BondPrice,A</v>
      </c>
    </row>
    <row r="44" spans="1:3" x14ac:dyDescent="0.25">
      <c r="A44" s="28" t="s">
        <v>38</v>
      </c>
      <c r="B44" s="48">
        <f>_xll.qlBondYield2(B16,B43,"actual360","CONTINUOUS","annual",,,,,B43)</f>
        <v>2.9888059373415064E-2</v>
      </c>
      <c r="C44" s="49">
        <f>_xll.qlBondYield2(C16,C43,"actual360","CONTINUOUS","annual")</f>
        <v>2.9888059373415064E-2</v>
      </c>
    </row>
    <row r="45" spans="1:3" x14ac:dyDescent="0.25">
      <c r="A45" s="45" t="s">
        <v>54</v>
      </c>
      <c r="B45" s="39">
        <v>45667</v>
      </c>
      <c r="C45" s="40">
        <v>45667</v>
      </c>
    </row>
    <row r="46" spans="1:3" x14ac:dyDescent="0.25">
      <c r="A46" s="28" t="s">
        <v>39</v>
      </c>
      <c r="B46" s="48">
        <f>_xll.qlBondAccruedAmount(B16,B45,B36)</f>
        <v>0</v>
      </c>
      <c r="C46" s="49">
        <f>_xll.qlBondAccruedAmount(C16,C45)</f>
        <v>0</v>
      </c>
    </row>
    <row r="47" spans="1:3" x14ac:dyDescent="0.25">
      <c r="A47" s="50" t="s">
        <v>40</v>
      </c>
      <c r="B47" s="51">
        <f>_xll.qlBondSettlementValue(B16,B36)</f>
        <v>80.906733580822063</v>
      </c>
      <c r="C47" s="52">
        <f>_xll.qlBondSettlementValue(C16,C36)</f>
        <v>80.906733580822063</v>
      </c>
    </row>
    <row r="48" spans="1:3" x14ac:dyDescent="0.25">
      <c r="A48" s="26" t="s">
        <v>41</v>
      </c>
      <c r="B48" s="61">
        <f>_xll.qlBondSettlementValue2(B16,B37,B37)</f>
        <v>80.906733580822063</v>
      </c>
      <c r="C48" s="62">
        <f>_xll.qlBondSettlementValue2(C16,C37)</f>
        <v>80.906733580822063</v>
      </c>
    </row>
    <row r="49" spans="1:3" x14ac:dyDescent="0.25">
      <c r="A49" s="26" t="s">
        <v>138</v>
      </c>
      <c r="B49" s="22" t="str">
        <f>_xll.qlCallableBondCallability(B16,B16)</f>
        <v>欣[test_bonds.xlsx]CallableZeroCouponBond!R49C2Callability,A</v>
      </c>
      <c r="C49" s="23" t="str">
        <f>_xll.qlCallableBondCallability(C16)</f>
        <v>欣[test_bonds.xlsx]CallableZeroCouponBond!R49C3Callability,A</v>
      </c>
    </row>
    <row r="50" spans="1:3" x14ac:dyDescent="0.25">
      <c r="A50" s="45" t="s">
        <v>120</v>
      </c>
      <c r="B50" s="19" t="str">
        <f>_xll.qlBondPrice(B37,"Clean",B37)</f>
        <v>欣[test_bonds.xlsx]CallableZeroCouponBond!R50C2BondPrice,A</v>
      </c>
      <c r="C50" s="20" t="str">
        <f>_xll.qlBondPrice(C37,"Clean")</f>
        <v>欣[test_bonds.xlsx]CallableZeroCouponBond!R50C3BondPrice,A</v>
      </c>
    </row>
    <row r="51" spans="1:3" x14ac:dyDescent="0.25">
      <c r="A51" s="25" t="s">
        <v>152</v>
      </c>
      <c r="B51" s="22" t="str">
        <f>_xll.qlBondPrice(B37,"Clean",B37)</f>
        <v>欣[test_bonds.xlsx]CallableZeroCouponBond!R51C2BondPrice,A</v>
      </c>
      <c r="C51" s="23" t="str">
        <f>_xll.qlBondPrice(C37,"Clean")</f>
        <v>欣[test_bonds.xlsx]CallableZeroCouponBond!R51C3BondPrice,A</v>
      </c>
    </row>
    <row r="52" spans="1:3" x14ac:dyDescent="0.25">
      <c r="A52" s="25" t="s">
        <v>153</v>
      </c>
      <c r="B52" s="22" t="str">
        <f>_xll.qlFlatForward($B$1,0.03,"actual365fixed",,,B51)</f>
        <v>欣[test_bonds.xlsx]CallableZeroCouponBond!R52C2YieldTermStructureHandle,A</v>
      </c>
      <c r="C52" s="22" t="str">
        <f>_xll.qlFlatForward($B$1,0.03,"actual365fixed",,,C51)</f>
        <v>欣[test_bonds.xlsx]CallableZeroCouponBond!R52C3YieldTermStructureHandle,A</v>
      </c>
    </row>
    <row r="53" spans="1:3" x14ac:dyDescent="0.25">
      <c r="A53" s="25" t="s">
        <v>154</v>
      </c>
      <c r="B53" s="60">
        <v>9.9999999999999995E-7</v>
      </c>
      <c r="C53" s="63">
        <v>9.9999999999999995E-7</v>
      </c>
    </row>
    <row r="54" spans="1:3" x14ac:dyDescent="0.25">
      <c r="A54" s="25" t="s">
        <v>155</v>
      </c>
      <c r="B54" s="22">
        <v>100</v>
      </c>
      <c r="C54" s="23">
        <v>100</v>
      </c>
    </row>
    <row r="55" spans="1:3" x14ac:dyDescent="0.25">
      <c r="A55" s="25" t="s">
        <v>156</v>
      </c>
      <c r="B55" s="22">
        <v>0.01</v>
      </c>
      <c r="C55" s="23">
        <v>0.01</v>
      </c>
    </row>
    <row r="56" spans="1:3" x14ac:dyDescent="0.25">
      <c r="A56" s="25" t="s">
        <v>157</v>
      </c>
      <c r="B56" s="22">
        <v>0.5</v>
      </c>
      <c r="C56" s="23">
        <v>0.5</v>
      </c>
    </row>
    <row r="57" spans="1:3" s="4" customFormat="1" x14ac:dyDescent="0.25">
      <c r="A57" s="64" t="s">
        <v>139</v>
      </c>
      <c r="B57" s="73">
        <f>_xll.qlCallableBondImpliedVolatility(B16,B51,B52,B53,B54,B55,B56,B52)</f>
        <v>0.49070370870006957</v>
      </c>
      <c r="C57" s="74">
        <f>_xll.qlCallableBondImpliedVolatility(C16,C51,C52,C53,C54,C55,C56)</f>
        <v>0.49070370870006957</v>
      </c>
    </row>
    <row r="58" spans="1:3" x14ac:dyDescent="0.25">
      <c r="A58" s="50" t="s">
        <v>141</v>
      </c>
      <c r="B58" s="67">
        <f>_xll.qlCallableBondCleanPriceOAS(B16,0.3,B34,"actual/360","simple","annual",,B36)</f>
        <v>80.879869761049548</v>
      </c>
      <c r="C58" s="68">
        <f>_xll.qlCallableBondCleanPriceOAS(C16,0.3,C34,"actual/360","simple","annual",,C36)</f>
        <v>80.879869761049548</v>
      </c>
    </row>
    <row r="59" spans="1:3" x14ac:dyDescent="0.25">
      <c r="A59" s="50" t="s">
        <v>140</v>
      </c>
      <c r="B59" s="67">
        <f>_xll.qlCallableBondOAS(B16,B58,B34,"30/360","compounded","Annual",,,,,B58)</f>
        <v>0</v>
      </c>
      <c r="C59" s="68">
        <f>_xll.qlCallableBondOAS(C16,C58,C34,"30/360","compounded","Annual")</f>
        <v>0</v>
      </c>
    </row>
    <row r="60" spans="1:3" x14ac:dyDescent="0.25">
      <c r="A60" s="26" t="s">
        <v>142</v>
      </c>
      <c r="B60" s="22">
        <f>_xll.qlCallableBondEffectiveDuration(B16,0.3,B34,"actual/360","simple","quarterly",,B36)</f>
        <v>0</v>
      </c>
      <c r="C60" s="23">
        <f>_xll.qlCallableBondEffectiveDuration(C16,0.3,C34,"actual/360","simple","quarterly",,C36)</f>
        <v>0</v>
      </c>
    </row>
    <row r="61" spans="1:3" x14ac:dyDescent="0.25">
      <c r="A61" s="50" t="s">
        <v>143</v>
      </c>
      <c r="B61" s="67">
        <f>_xll.qlCallableBondEffectiveConvexity(B16,0.3,B34,"actual/360","simple","quarterly",,B36)</f>
        <v>0</v>
      </c>
      <c r="C61" s="68">
        <f>_xll.qlCallableBondEffectiveConvexity(C16,0.3,C34,"actual/360","simple","quarterly",,C36)</f>
        <v>0</v>
      </c>
    </row>
    <row r="62" spans="1:3" x14ac:dyDescent="0.25">
      <c r="A62" s="45" t="s">
        <v>153</v>
      </c>
      <c r="B62" s="46" t="str">
        <f>_xll.qlFlatForward($B$1,0.03,"actual365fixed",,,B61)</f>
        <v>欣[test_bonds.xlsx]CallableZeroCouponBond!R62C2YieldTermStructureHandle,A</v>
      </c>
      <c r="C62" s="46" t="str">
        <f>_xll.qlFlatForward($B$1,0.03,"actual365fixed",,,C61)</f>
        <v>欣[test_bonds.xlsx]CallableZeroCouponBond!R62C3YieldTermStructureHandle,A</v>
      </c>
    </row>
    <row r="63" spans="1:3" x14ac:dyDescent="0.25">
      <c r="A63" s="25" t="s">
        <v>162</v>
      </c>
      <c r="B63" s="61">
        <v>5.0000000000000001E-3</v>
      </c>
      <c r="C63" s="62">
        <v>5.0000000000000001E-3</v>
      </c>
    </row>
    <row r="64" spans="1:3" x14ac:dyDescent="0.25">
      <c r="A64" s="25" t="s">
        <v>164</v>
      </c>
      <c r="B64" s="61" t="s">
        <v>167</v>
      </c>
      <c r="C64" s="62" t="s">
        <v>167</v>
      </c>
    </row>
    <row r="65" spans="1:3" x14ac:dyDescent="0.25">
      <c r="A65" s="25" t="s">
        <v>163</v>
      </c>
      <c r="B65" s="61" t="s">
        <v>168</v>
      </c>
      <c r="C65" s="62" t="s">
        <v>168</v>
      </c>
    </row>
    <row r="66" spans="1:3" x14ac:dyDescent="0.25">
      <c r="A66" s="25" t="s">
        <v>165</v>
      </c>
      <c r="B66" s="61" t="s">
        <v>169</v>
      </c>
      <c r="C66" s="62" t="s">
        <v>169</v>
      </c>
    </row>
    <row r="67" spans="1:3" x14ac:dyDescent="0.25">
      <c r="A67" s="25" t="s">
        <v>166</v>
      </c>
      <c r="B67" s="61"/>
      <c r="C67" s="62"/>
    </row>
    <row r="68" spans="1:3" x14ac:dyDescent="0.25">
      <c r="A68" s="28" t="s">
        <v>161</v>
      </c>
      <c r="B68" s="29">
        <f>_xll.qlBondCleanPriceFromZSpread(B16,B62,B63,B64,B65,B66,,B62)</f>
        <v>78.380336922103126</v>
      </c>
      <c r="C68" s="30">
        <f>_xll.qlBondCleanPriceFromZSpread(C16,C62,C63,C64,C65,C66)</f>
        <v>78.380336922103126</v>
      </c>
    </row>
    <row r="69" spans="1:3" x14ac:dyDescent="0.25">
      <c r="A69" s="24"/>
      <c r="B69" s="22"/>
      <c r="C69" s="23"/>
    </row>
    <row r="70" spans="1:3" x14ac:dyDescent="0.25">
      <c r="A70" s="18" t="s">
        <v>170</v>
      </c>
      <c r="B70" s="19" t="str">
        <f>_xll.qlCallableZeroCouponBond(B4,B5,B6,B7,B8,,,,B15,B16)</f>
        <v>欣[test_bonds.xlsx]CallableZeroCouponBond!R70C2CallableZeroCouponBond,A</v>
      </c>
      <c r="C70" s="20" t="str">
        <f>_xll.qlCallableZeroCouponBond(C4,C5,C6,C7,C8,C9,C10,C11,C15,C16)</f>
        <v>欣[test_bonds.xlsx]CallableZeroCouponBond!R70C3CallableZeroCouponBond,A</v>
      </c>
    </row>
    <row r="71" spans="1:3" x14ac:dyDescent="0.25">
      <c r="A71" s="21" t="s">
        <v>171</v>
      </c>
      <c r="B71" s="22" t="str">
        <f>_xll.qlFlatForward($B$1,0.02,"actual365fixed",,,B70)</f>
        <v>欣[test_bonds.xlsx]CallableZeroCouponBond!R71C2YieldTermStructureHandle,A</v>
      </c>
      <c r="C71" s="23" t="str">
        <f>_xll.qlFlatForward($B$1,0.02,"actual365fixed",,,C70)</f>
        <v>欣[test_bonds.xlsx]CallableZeroCouponBond!R71C3YieldTermStructureHandle,A</v>
      </c>
    </row>
    <row r="72" spans="1:3" x14ac:dyDescent="0.25">
      <c r="A72" s="21" t="s">
        <v>172</v>
      </c>
      <c r="B72" s="22">
        <v>0.03</v>
      </c>
      <c r="C72" s="23">
        <v>0.03</v>
      </c>
    </row>
    <row r="73" spans="1:3" x14ac:dyDescent="0.25">
      <c r="A73" s="21" t="s">
        <v>173</v>
      </c>
      <c r="B73" s="22">
        <v>0.01</v>
      </c>
      <c r="C73" s="23">
        <v>0.01</v>
      </c>
    </row>
    <row r="74" spans="1:3" x14ac:dyDescent="0.25">
      <c r="A74" s="24" t="s">
        <v>174</v>
      </c>
      <c r="B74" s="22" t="str">
        <f>_xll.qlHullWhite(B71,B72,B73,B71)</f>
        <v>欣[test_bonds.xlsx]CallableZeroCouponBond!R74C2HullWhite,A</v>
      </c>
      <c r="C74" s="23" t="str">
        <f>_xll.qlHullWhite(C71,C72,C73,C71)</f>
        <v>欣[test_bonds.xlsx]CallableZeroCouponBond!R74C3HullWhite,A</v>
      </c>
    </row>
    <row r="75" spans="1:3" x14ac:dyDescent="0.25">
      <c r="A75" s="25" t="s">
        <v>175</v>
      </c>
      <c r="B75" s="22">
        <v>100</v>
      </c>
      <c r="C75" s="23">
        <v>100</v>
      </c>
    </row>
    <row r="76" spans="1:3" x14ac:dyDescent="0.25">
      <c r="A76" s="26" t="s">
        <v>176</v>
      </c>
      <c r="B76" s="22" t="str">
        <f>_xll.qlTreeCallableFixedRateBondEngine(B74,B75,,B74)</f>
        <v>欣[test_bonds.xlsx]CallableZeroCouponBond!R76C2TreeCallableFixedRateBondEngine,A</v>
      </c>
      <c r="C76" s="23" t="str">
        <f>_xll.qlTreeCallableFixedRateBondEngine(C74,C75,,C74)</f>
        <v>欣[test_bonds.xlsx]CallableZeroCouponBond!R76C3TreeCallableFixedRateBondEngine,A</v>
      </c>
    </row>
    <row r="77" spans="1:3" x14ac:dyDescent="0.25">
      <c r="A77" s="27" t="s">
        <v>149</v>
      </c>
      <c r="B77" s="22" t="b">
        <f>_xll.qlInstrumentSetPricingEngine(B70,B76)</f>
        <v>1</v>
      </c>
      <c r="C77" s="23" t="b">
        <f>_xll.qlInstrumentSetPricingEngine(C70,C76)</f>
        <v>1</v>
      </c>
    </row>
    <row r="78" spans="1:3" x14ac:dyDescent="0.25">
      <c r="A78" s="28" t="s">
        <v>33</v>
      </c>
      <c r="B78" s="29">
        <f>_xll.qlBondCleanPrice(B70,B77)</f>
        <v>86.90746669939648</v>
      </c>
      <c r="C78" s="30">
        <f>_xll.qlBondCleanPrice(C70,C77)</f>
        <v>86.90746669939648</v>
      </c>
    </row>
    <row r="79" spans="1:3" x14ac:dyDescent="0.25">
      <c r="A79" s="18" t="s">
        <v>178</v>
      </c>
      <c r="B79" s="19" t="str">
        <f>_xll.qlCallableZeroCouponBond(B4,B5,B6,B7,B8,,,,B15,B16)</f>
        <v>欣[test_bonds.xlsx]CallableZeroCouponBond!R79C2CallableZeroCouponBond,A</v>
      </c>
      <c r="C79" s="20" t="str">
        <f>_xll.qlCallableZeroCouponBond(C4,C5,C6,C7,C8,C9,C10,C11,C15,C16)</f>
        <v>欣[test_bonds.xlsx]CallableZeroCouponBond!R79C3CallableZeroCouponBond,A</v>
      </c>
    </row>
    <row r="80" spans="1:3" x14ac:dyDescent="0.25">
      <c r="A80" s="21" t="s">
        <v>171</v>
      </c>
      <c r="B80" s="22" t="str">
        <f>_xll.qlFlatForward($B$1,0.02,"actual365fixed",,,B79)</f>
        <v>欣[test_bonds.xlsx]CallableZeroCouponBond!R80C2YieldTermStructureHandle,A</v>
      </c>
      <c r="C80" s="23" t="str">
        <f>_xll.qlFlatForward($B$1,0.02,"actual365fixed",,,C79)</f>
        <v>欣[test_bonds.xlsx]CallableZeroCouponBond!R80C3YieldTermStructureHandle,A</v>
      </c>
    </row>
    <row r="81" spans="1:3" x14ac:dyDescent="0.25">
      <c r="A81" s="21" t="s">
        <v>172</v>
      </c>
      <c r="B81" s="22">
        <v>0.03</v>
      </c>
      <c r="C81" s="23">
        <v>0.03</v>
      </c>
    </row>
    <row r="82" spans="1:3" x14ac:dyDescent="0.25">
      <c r="A82" s="21" t="s">
        <v>173</v>
      </c>
      <c r="B82" s="22">
        <v>0.01</v>
      </c>
      <c r="C82" s="23">
        <v>0.01</v>
      </c>
    </row>
    <row r="83" spans="1:3" x14ac:dyDescent="0.25">
      <c r="A83" s="24" t="s">
        <v>174</v>
      </c>
      <c r="B83" s="22" t="str">
        <f>_xll.qlHullWhite(B80,B81,B82,B80)</f>
        <v>欣[test_bonds.xlsx]CallableZeroCouponBond!R83C2HullWhite,A</v>
      </c>
      <c r="C83" s="23" t="str">
        <f>_xll.qlHullWhite(C80,C81,C82,C80)</f>
        <v>欣[test_bonds.xlsx]CallableZeroCouponBond!R83C3HullWhite,A</v>
      </c>
    </row>
    <row r="84" spans="1:3" x14ac:dyDescent="0.25">
      <c r="A84" s="25" t="s">
        <v>179</v>
      </c>
      <c r="B84" s="22" t="str">
        <f>_xll.qlTimeGridFromTimes(B91:B206,B83)</f>
        <v>欣[test_bonds.xlsx]CallableZeroCouponBond!R84C2TimeGrid,A</v>
      </c>
      <c r="C84" s="23" t="str">
        <f>_xll.qlTimeGridFromTimes(B91:B206,C83)</f>
        <v>欣[test_bonds.xlsx]CallableZeroCouponBond!R84C3TimeGrid,A</v>
      </c>
    </row>
    <row r="85" spans="1:3" x14ac:dyDescent="0.25">
      <c r="A85" s="26" t="s">
        <v>176</v>
      </c>
      <c r="B85" s="22" t="str">
        <f>_xll.qlTreeCallableFixedRateBondEngine2(B83,B84,,B84)</f>
        <v>欣[test_bonds.xlsx]CallableZeroCouponBond!R85C2TreeCallableFixedRateBondEngine,A</v>
      </c>
      <c r="C85" s="23" t="str">
        <f>_xll.qlTreeCallableFixedRateBondEngine2(C83,C84,,C84)</f>
        <v>欣[test_bonds.xlsx]CallableZeroCouponBond!R85C3TreeCallableFixedRateBondEngine,A</v>
      </c>
    </row>
    <row r="86" spans="1:3" x14ac:dyDescent="0.25">
      <c r="A86" s="27" t="s">
        <v>149</v>
      </c>
      <c r="B86" s="22" t="b">
        <f>_xll.qlInstrumentSetPricingEngine(B79,B85)</f>
        <v>1</v>
      </c>
      <c r="C86" s="23" t="b">
        <f>_xll.qlInstrumentSetPricingEngine(C79,C85)</f>
        <v>1</v>
      </c>
    </row>
    <row r="87" spans="1:3" x14ac:dyDescent="0.25">
      <c r="A87" s="28" t="s">
        <v>33</v>
      </c>
      <c r="B87" s="29">
        <f>_xll.qlBondCleanPrice(B79,B86)</f>
        <v>86.905812980554899</v>
      </c>
      <c r="C87" s="30">
        <f>_xll.qlBondCleanPrice(C79,C86)</f>
        <v>86.905812980554899</v>
      </c>
    </row>
    <row r="91" spans="1:3" x14ac:dyDescent="0.25">
      <c r="A91" t="s">
        <v>177</v>
      </c>
      <c r="B91" s="2">
        <v>0</v>
      </c>
    </row>
    <row r="92" spans="1:3" x14ac:dyDescent="0.25">
      <c r="B92" s="2">
        <v>0.49589041095890402</v>
      </c>
    </row>
    <row r="93" spans="1:3" x14ac:dyDescent="0.25">
      <c r="B93" s="2">
        <v>1</v>
      </c>
    </row>
    <row r="94" spans="1:3" x14ac:dyDescent="0.25">
      <c r="B94" s="2">
        <v>1.4958904109589</v>
      </c>
    </row>
    <row r="95" spans="1:3" x14ac:dyDescent="0.25">
      <c r="B95" s="2">
        <v>2.0054794520547898</v>
      </c>
    </row>
    <row r="96" spans="1:3" x14ac:dyDescent="0.25">
      <c r="B96" s="2">
        <v>2.4958904109589</v>
      </c>
    </row>
    <row r="97" spans="2:2" x14ac:dyDescent="0.25">
      <c r="B97" s="2">
        <v>3</v>
      </c>
    </row>
    <row r="98" spans="2:2" x14ac:dyDescent="0.25">
      <c r="B98" s="2">
        <v>3.0027397260273898</v>
      </c>
    </row>
    <row r="99" spans="2:2" x14ac:dyDescent="0.25">
      <c r="B99" s="2">
        <v>3.5013698630136898</v>
      </c>
    </row>
    <row r="100" spans="2:2" x14ac:dyDescent="0.25">
      <c r="B100" s="2">
        <v>4.0027397260273903</v>
      </c>
    </row>
    <row r="101" spans="2:2" x14ac:dyDescent="0.25">
      <c r="B101" s="2">
        <v>4.4986301369863</v>
      </c>
    </row>
    <row r="102" spans="2:2" x14ac:dyDescent="0.25">
      <c r="B102" s="2">
        <v>5.0027397260273903</v>
      </c>
    </row>
    <row r="103" spans="2:2" x14ac:dyDescent="0.25">
      <c r="B103" s="2">
        <v>5.4986301369863</v>
      </c>
    </row>
    <row r="104" spans="2:2" x14ac:dyDescent="0.25">
      <c r="B104" s="2">
        <v>6.0027397260273903</v>
      </c>
    </row>
    <row r="105" spans="2:2" x14ac:dyDescent="0.25">
      <c r="B105" s="2">
        <v>6.4986301369863</v>
      </c>
    </row>
    <row r="106" spans="2:2" x14ac:dyDescent="0.25">
      <c r="B106" s="2">
        <v>7.0027397260273903</v>
      </c>
    </row>
    <row r="107" spans="2:2" x14ac:dyDescent="0.25">
      <c r="B107" s="2">
        <v>7.0077397260273901</v>
      </c>
    </row>
    <row r="108" spans="2:2" x14ac:dyDescent="0.25">
      <c r="B108" s="2">
        <v>7.01273972602739</v>
      </c>
    </row>
    <row r="109" spans="2:2" x14ac:dyDescent="0.25">
      <c r="B109" s="2">
        <v>7.0177397260273899</v>
      </c>
    </row>
    <row r="110" spans="2:2" x14ac:dyDescent="0.25">
      <c r="B110" s="2">
        <v>7.0227397260273898</v>
      </c>
    </row>
    <row r="111" spans="2:2" x14ac:dyDescent="0.25">
      <c r="B111" s="2">
        <v>7.0277397260273897</v>
      </c>
    </row>
    <row r="112" spans="2:2" x14ac:dyDescent="0.25">
      <c r="B112" s="2">
        <v>7.0327397260273896</v>
      </c>
    </row>
    <row r="113" spans="2:2" x14ac:dyDescent="0.25">
      <c r="B113" s="2">
        <v>7.0377397260273904</v>
      </c>
    </row>
    <row r="114" spans="2:2" x14ac:dyDescent="0.25">
      <c r="B114" s="2">
        <v>7.0427397260273903</v>
      </c>
    </row>
    <row r="115" spans="2:2" x14ac:dyDescent="0.25">
      <c r="B115" s="2">
        <v>7.0477397260273902</v>
      </c>
    </row>
    <row r="116" spans="2:2" x14ac:dyDescent="0.25">
      <c r="B116" s="2">
        <v>7.0527397260273901</v>
      </c>
    </row>
    <row r="117" spans="2:2" x14ac:dyDescent="0.25">
      <c r="B117" s="2">
        <v>7.05773972602739</v>
      </c>
    </row>
    <row r="118" spans="2:2" x14ac:dyDescent="0.25">
      <c r="B118" s="2">
        <v>7.0627397260273899</v>
      </c>
    </row>
    <row r="119" spans="2:2" x14ac:dyDescent="0.25">
      <c r="B119" s="2">
        <v>7.0677397260273898</v>
      </c>
    </row>
    <row r="120" spans="2:2" x14ac:dyDescent="0.25">
      <c r="B120" s="2">
        <v>7.0727397260273897</v>
      </c>
    </row>
    <row r="121" spans="2:2" x14ac:dyDescent="0.25">
      <c r="B121" s="2">
        <v>7.0777397260273904</v>
      </c>
    </row>
    <row r="122" spans="2:2" x14ac:dyDescent="0.25">
      <c r="B122" s="2">
        <v>7.0827397260273903</v>
      </c>
    </row>
    <row r="123" spans="2:2" x14ac:dyDescent="0.25">
      <c r="B123" s="2">
        <v>7.0877397260273902</v>
      </c>
    </row>
    <row r="124" spans="2:2" x14ac:dyDescent="0.25">
      <c r="B124" s="2">
        <v>7.0927397260273901</v>
      </c>
    </row>
    <row r="125" spans="2:2" x14ac:dyDescent="0.25">
      <c r="B125" s="2">
        <v>7.09773972602739</v>
      </c>
    </row>
    <row r="126" spans="2:2" x14ac:dyDescent="0.25">
      <c r="B126" s="2">
        <v>7.1027397260273899</v>
      </c>
    </row>
    <row r="127" spans="2:2" x14ac:dyDescent="0.25">
      <c r="B127" s="2">
        <v>7.1077397260273898</v>
      </c>
    </row>
    <row r="128" spans="2:2" x14ac:dyDescent="0.25">
      <c r="B128" s="2">
        <v>7.1127397260273897</v>
      </c>
    </row>
    <row r="129" spans="2:2" x14ac:dyDescent="0.25">
      <c r="B129" s="2">
        <v>7.1177397260273896</v>
      </c>
    </row>
    <row r="130" spans="2:2" x14ac:dyDescent="0.25">
      <c r="B130" s="2">
        <v>7.1227397260273904</v>
      </c>
    </row>
    <row r="131" spans="2:2" x14ac:dyDescent="0.25">
      <c r="B131" s="2">
        <v>7.1277397260273903</v>
      </c>
    </row>
    <row r="132" spans="2:2" x14ac:dyDescent="0.25">
      <c r="B132" s="2">
        <v>7.1327397260273901</v>
      </c>
    </row>
    <row r="133" spans="2:2" x14ac:dyDescent="0.25">
      <c r="B133" s="2">
        <v>7.13773972602739</v>
      </c>
    </row>
    <row r="134" spans="2:2" x14ac:dyDescent="0.25">
      <c r="B134" s="2">
        <v>7.1427397260273899</v>
      </c>
    </row>
    <row r="135" spans="2:2" x14ac:dyDescent="0.25">
      <c r="B135" s="2">
        <v>7.1477397260273898</v>
      </c>
    </row>
    <row r="136" spans="2:2" x14ac:dyDescent="0.25">
      <c r="B136" s="2">
        <v>7.1527397260273897</v>
      </c>
    </row>
    <row r="137" spans="2:2" x14ac:dyDescent="0.25">
      <c r="B137" s="2">
        <v>7.1577397260273896</v>
      </c>
    </row>
    <row r="138" spans="2:2" x14ac:dyDescent="0.25">
      <c r="B138" s="2">
        <v>7.1627397260273904</v>
      </c>
    </row>
    <row r="139" spans="2:2" x14ac:dyDescent="0.25">
      <c r="B139" s="2">
        <v>7.1677397260273903</v>
      </c>
    </row>
    <row r="140" spans="2:2" x14ac:dyDescent="0.25">
      <c r="B140" s="2">
        <v>7.1727397260273902</v>
      </c>
    </row>
    <row r="141" spans="2:2" x14ac:dyDescent="0.25">
      <c r="B141" s="2">
        <v>7.1777397260273901</v>
      </c>
    </row>
    <row r="142" spans="2:2" x14ac:dyDescent="0.25">
      <c r="B142" s="2">
        <v>7.18273972602739</v>
      </c>
    </row>
    <row r="143" spans="2:2" x14ac:dyDescent="0.25">
      <c r="B143" s="2">
        <v>7.1877397260273899</v>
      </c>
    </row>
    <row r="144" spans="2:2" x14ac:dyDescent="0.25">
      <c r="B144" s="2">
        <v>7.1927397260273898</v>
      </c>
    </row>
    <row r="145" spans="2:2" x14ac:dyDescent="0.25">
      <c r="B145" s="2">
        <v>7.1977397260273897</v>
      </c>
    </row>
    <row r="146" spans="2:2" x14ac:dyDescent="0.25">
      <c r="B146" s="2">
        <v>7.2027397260273904</v>
      </c>
    </row>
    <row r="147" spans="2:2" x14ac:dyDescent="0.25">
      <c r="B147" s="2">
        <v>7.2077397260273903</v>
      </c>
    </row>
    <row r="148" spans="2:2" x14ac:dyDescent="0.25">
      <c r="B148" s="2">
        <v>7.2127397260273902</v>
      </c>
    </row>
    <row r="149" spans="2:2" x14ac:dyDescent="0.25">
      <c r="B149" s="2">
        <v>7.2177397260273901</v>
      </c>
    </row>
    <row r="150" spans="2:2" x14ac:dyDescent="0.25">
      <c r="B150" s="2">
        <v>7.22273972602739</v>
      </c>
    </row>
    <row r="151" spans="2:2" x14ac:dyDescent="0.25">
      <c r="B151" s="2">
        <v>7.2277397260273899</v>
      </c>
    </row>
    <row r="152" spans="2:2" x14ac:dyDescent="0.25">
      <c r="B152" s="2">
        <v>7.2327397260273898</v>
      </c>
    </row>
    <row r="153" spans="2:2" x14ac:dyDescent="0.25">
      <c r="B153" s="2">
        <v>7.2377397260273897</v>
      </c>
    </row>
    <row r="154" spans="2:2" x14ac:dyDescent="0.25">
      <c r="B154" s="2">
        <v>7.2427397260273896</v>
      </c>
    </row>
    <row r="155" spans="2:2" x14ac:dyDescent="0.25">
      <c r="B155" s="2">
        <v>7.2477397260273904</v>
      </c>
    </row>
    <row r="156" spans="2:2" x14ac:dyDescent="0.25">
      <c r="B156" s="2">
        <v>7.2527397260273903</v>
      </c>
    </row>
    <row r="157" spans="2:2" x14ac:dyDescent="0.25">
      <c r="B157" s="2">
        <v>7.2577397260273901</v>
      </c>
    </row>
    <row r="158" spans="2:2" x14ac:dyDescent="0.25">
      <c r="B158" s="2">
        <v>7.26273972602739</v>
      </c>
    </row>
    <row r="159" spans="2:2" x14ac:dyDescent="0.25">
      <c r="B159" s="2">
        <v>7.2677397260273899</v>
      </c>
    </row>
    <row r="160" spans="2:2" x14ac:dyDescent="0.25">
      <c r="B160" s="2">
        <v>7.2727397260273898</v>
      </c>
    </row>
    <row r="161" spans="2:2" x14ac:dyDescent="0.25">
      <c r="B161" s="2">
        <v>7.2777397260273897</v>
      </c>
    </row>
    <row r="162" spans="2:2" x14ac:dyDescent="0.25">
      <c r="B162" s="2">
        <v>7.2827397260273896</v>
      </c>
    </row>
    <row r="163" spans="2:2" x14ac:dyDescent="0.25">
      <c r="B163" s="2">
        <v>7.2877397260273904</v>
      </c>
    </row>
    <row r="164" spans="2:2" x14ac:dyDescent="0.25">
      <c r="B164" s="2">
        <v>7.2927397260273903</v>
      </c>
    </row>
    <row r="165" spans="2:2" x14ac:dyDescent="0.25">
      <c r="B165" s="2">
        <v>7.2977397260273902</v>
      </c>
    </row>
    <row r="166" spans="2:2" x14ac:dyDescent="0.25">
      <c r="B166" s="2">
        <v>7.3027397260273901</v>
      </c>
    </row>
    <row r="167" spans="2:2" x14ac:dyDescent="0.25">
      <c r="B167" s="2">
        <v>7.30773972602739</v>
      </c>
    </row>
    <row r="168" spans="2:2" x14ac:dyDescent="0.25">
      <c r="B168" s="2">
        <v>7.3127397260273899</v>
      </c>
    </row>
    <row r="169" spans="2:2" x14ac:dyDescent="0.25">
      <c r="B169" s="2">
        <v>7.3177397260273898</v>
      </c>
    </row>
    <row r="170" spans="2:2" x14ac:dyDescent="0.25">
      <c r="B170" s="2">
        <v>7.3227397260273897</v>
      </c>
    </row>
    <row r="171" spans="2:2" x14ac:dyDescent="0.25">
      <c r="B171" s="2">
        <v>7.3277397260273904</v>
      </c>
    </row>
    <row r="172" spans="2:2" x14ac:dyDescent="0.25">
      <c r="B172" s="2">
        <v>7.3327397260273903</v>
      </c>
    </row>
    <row r="173" spans="2:2" x14ac:dyDescent="0.25">
      <c r="B173" s="2">
        <v>7.3377397260273902</v>
      </c>
    </row>
    <row r="174" spans="2:2" x14ac:dyDescent="0.25">
      <c r="B174" s="2">
        <v>7.3427397260273901</v>
      </c>
    </row>
    <row r="175" spans="2:2" x14ac:dyDescent="0.25">
      <c r="B175" s="2">
        <v>7.34773972602739</v>
      </c>
    </row>
    <row r="176" spans="2:2" x14ac:dyDescent="0.25">
      <c r="B176" s="2">
        <v>7.3527397260273899</v>
      </c>
    </row>
    <row r="177" spans="2:2" x14ac:dyDescent="0.25">
      <c r="B177" s="2">
        <v>7.3577397260273898</v>
      </c>
    </row>
    <row r="178" spans="2:2" x14ac:dyDescent="0.25">
      <c r="B178" s="2">
        <v>7.3627397260273897</v>
      </c>
    </row>
    <row r="179" spans="2:2" x14ac:dyDescent="0.25">
      <c r="B179" s="2">
        <v>7.3677397260273896</v>
      </c>
    </row>
    <row r="180" spans="2:2" x14ac:dyDescent="0.25">
      <c r="B180" s="2">
        <v>7.3727397260273904</v>
      </c>
    </row>
    <row r="181" spans="2:2" x14ac:dyDescent="0.25">
      <c r="B181" s="2">
        <v>7.3777397260273903</v>
      </c>
    </row>
    <row r="182" spans="2:2" x14ac:dyDescent="0.25">
      <c r="B182" s="2">
        <v>7.3827397260273901</v>
      </c>
    </row>
    <row r="183" spans="2:2" x14ac:dyDescent="0.25">
      <c r="B183" s="2">
        <v>7.38773972602739</v>
      </c>
    </row>
    <row r="184" spans="2:2" x14ac:dyDescent="0.25">
      <c r="B184" s="2">
        <v>7.3927397260273899</v>
      </c>
    </row>
    <row r="185" spans="2:2" x14ac:dyDescent="0.25">
      <c r="B185" s="2">
        <v>7.3977397260273898</v>
      </c>
    </row>
    <row r="186" spans="2:2" x14ac:dyDescent="0.25">
      <c r="B186" s="2">
        <v>7.4027397260273897</v>
      </c>
    </row>
    <row r="187" spans="2:2" x14ac:dyDescent="0.25">
      <c r="B187" s="2">
        <v>7.4077397260273896</v>
      </c>
    </row>
    <row r="188" spans="2:2" x14ac:dyDescent="0.25">
      <c r="B188" s="2">
        <v>7.4127397260273904</v>
      </c>
    </row>
    <row r="189" spans="2:2" x14ac:dyDescent="0.25">
      <c r="B189" s="2">
        <v>7.4177397260273903</v>
      </c>
    </row>
    <row r="190" spans="2:2" x14ac:dyDescent="0.25">
      <c r="B190" s="2">
        <v>7.4227397260273902</v>
      </c>
    </row>
    <row r="191" spans="2:2" x14ac:dyDescent="0.25">
      <c r="B191" s="2">
        <v>0.42773972602739702</v>
      </c>
    </row>
    <row r="192" spans="2:2" x14ac:dyDescent="0.25">
      <c r="B192" s="2">
        <v>7.43273972602739</v>
      </c>
    </row>
    <row r="193" spans="2:2" x14ac:dyDescent="0.25">
      <c r="B193" s="2">
        <v>7.4377397260273899</v>
      </c>
    </row>
    <row r="194" spans="2:2" x14ac:dyDescent="0.25">
      <c r="B194" s="2">
        <v>7.4427397260273898</v>
      </c>
    </row>
    <row r="195" spans="2:2" x14ac:dyDescent="0.25">
      <c r="B195" s="2">
        <v>7.4477397260273897</v>
      </c>
    </row>
    <row r="196" spans="2:2" x14ac:dyDescent="0.25">
      <c r="B196" s="2">
        <v>7.4527397260273904</v>
      </c>
    </row>
    <row r="197" spans="2:2" x14ac:dyDescent="0.25">
      <c r="B197" s="2">
        <v>7.4577397260273903</v>
      </c>
    </row>
    <row r="198" spans="2:2" x14ac:dyDescent="0.25">
      <c r="B198" s="2">
        <v>7.4627397260273902</v>
      </c>
    </row>
    <row r="199" spans="2:2" x14ac:dyDescent="0.25">
      <c r="B199" s="2">
        <v>7.4677397260273901</v>
      </c>
    </row>
    <row r="200" spans="2:2" x14ac:dyDescent="0.25">
      <c r="B200" s="2">
        <v>7.47273972602739</v>
      </c>
    </row>
    <row r="201" spans="2:2" x14ac:dyDescent="0.25">
      <c r="B201" s="2">
        <v>7.4777397260273899</v>
      </c>
    </row>
    <row r="202" spans="2:2" x14ac:dyDescent="0.25">
      <c r="B202" s="2">
        <v>7.4827397260273898</v>
      </c>
    </row>
    <row r="203" spans="2:2" x14ac:dyDescent="0.25">
      <c r="B203" s="2">
        <v>7.4877397260273897</v>
      </c>
    </row>
    <row r="204" spans="2:2" x14ac:dyDescent="0.25">
      <c r="B204" s="2">
        <v>7.4927397260273896</v>
      </c>
    </row>
    <row r="205" spans="2:2" x14ac:dyDescent="0.25">
      <c r="B205" s="2">
        <v>7.4977397260273904</v>
      </c>
    </row>
    <row r="206" spans="2:2" x14ac:dyDescent="0.25">
      <c r="B206" s="2">
        <v>7.5027397260273903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778A-9E41-4D83-BBAD-BAE5A92DD1A2}">
  <dimension ref="A1:C8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4.140625" customWidth="1"/>
    <col min="2" max="3" width="82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x14ac:dyDescent="0.25">
      <c r="A6" s="24" t="s">
        <v>180</v>
      </c>
      <c r="B6" s="22" t="b">
        <v>0</v>
      </c>
      <c r="C6" s="23" t="b">
        <v>0</v>
      </c>
    </row>
    <row r="7" spans="1:3" x14ac:dyDescent="0.25">
      <c r="A7" s="24" t="s">
        <v>181</v>
      </c>
      <c r="B7" s="22">
        <v>100</v>
      </c>
      <c r="C7" s="23">
        <v>100</v>
      </c>
    </row>
    <row r="8" spans="1:3" x14ac:dyDescent="0.25">
      <c r="A8" s="24" t="s">
        <v>182</v>
      </c>
      <c r="B8" s="22" t="s">
        <v>76</v>
      </c>
      <c r="C8" s="23" t="s">
        <v>76</v>
      </c>
    </row>
    <row r="9" spans="1:3" x14ac:dyDescent="0.25">
      <c r="A9" s="31" t="s">
        <v>185</v>
      </c>
      <c r="B9" s="19" t="s">
        <v>191</v>
      </c>
      <c r="C9" s="20" t="s">
        <v>191</v>
      </c>
    </row>
    <row r="10" spans="1:3" x14ac:dyDescent="0.25">
      <c r="A10" s="21" t="s">
        <v>186</v>
      </c>
      <c r="B10" s="22" t="str">
        <f>_xll.qlCustomRegion("TestRegion","TR",B2)</f>
        <v>欣[test_bonds.xlsx]CPIBond!R10C2CustomRegion,A</v>
      </c>
      <c r="C10" s="23" t="str">
        <f>_xll.qlCustomRegion("TestRegion","TR",C2)</f>
        <v>欣[test_bonds.xlsx]CPIBond!R10C3CustomRegion,A</v>
      </c>
    </row>
    <row r="11" spans="1:3" x14ac:dyDescent="0.25">
      <c r="A11" s="21" t="s">
        <v>187</v>
      </c>
      <c r="B11" s="22" t="b">
        <v>0</v>
      </c>
      <c r="C11" s="23" t="b">
        <v>0</v>
      </c>
    </row>
    <row r="12" spans="1:3" x14ac:dyDescent="0.25">
      <c r="A12" s="21" t="s">
        <v>188</v>
      </c>
      <c r="B12" s="22" t="s">
        <v>169</v>
      </c>
      <c r="C12" s="23" t="s">
        <v>169</v>
      </c>
    </row>
    <row r="13" spans="1:3" x14ac:dyDescent="0.25">
      <c r="A13" s="21" t="s">
        <v>189</v>
      </c>
      <c r="B13" s="22" t="s">
        <v>76</v>
      </c>
      <c r="C13" s="23" t="s">
        <v>76</v>
      </c>
    </row>
    <row r="14" spans="1:3" x14ac:dyDescent="0.25">
      <c r="A14" s="21" t="s">
        <v>103</v>
      </c>
      <c r="B14" s="22" t="s">
        <v>104</v>
      </c>
      <c r="C14" s="23" t="s">
        <v>104</v>
      </c>
    </row>
    <row r="15" spans="1:3" x14ac:dyDescent="0.25">
      <c r="A15" s="31" t="s">
        <v>192</v>
      </c>
      <c r="B15" s="39">
        <v>45293</v>
      </c>
      <c r="C15" s="40">
        <v>45293</v>
      </c>
    </row>
    <row r="16" spans="1:3" x14ac:dyDescent="0.25">
      <c r="A16" s="21" t="s">
        <v>192</v>
      </c>
      <c r="B16" s="41">
        <v>47485</v>
      </c>
      <c r="C16" s="42">
        <v>47485</v>
      </c>
    </row>
    <row r="17" spans="1:3" x14ac:dyDescent="0.25">
      <c r="A17" s="21" t="s">
        <v>193</v>
      </c>
      <c r="B17" s="22">
        <v>0.02</v>
      </c>
      <c r="C17" s="23">
        <v>0.02</v>
      </c>
    </row>
    <row r="18" spans="1:3" x14ac:dyDescent="0.25">
      <c r="A18" s="21" t="s">
        <v>193</v>
      </c>
      <c r="B18" s="22">
        <v>0.02</v>
      </c>
      <c r="C18" s="23">
        <v>0.02</v>
      </c>
    </row>
    <row r="19" spans="1:3" x14ac:dyDescent="0.25">
      <c r="A19" s="90" t="s">
        <v>190</v>
      </c>
      <c r="B19" s="29" t="str">
        <f>_xll.qlZeroInflationCurve($B$1,B15:B16,B17:B18,"Annual","Actual365fixed",,B10)</f>
        <v>欣[test_bonds.xlsx]CPIBond!R19C2ZeroInflationTermStructureHandle,A</v>
      </c>
      <c r="C19" s="30" t="str">
        <f>_xll.qlZeroInflationCurve($B$1,C15:C16,C17:C18,"Annual","Actual365fixed",,C10)</f>
        <v>欣[test_bonds.xlsx]CPIBond!R19C3ZeroInflationTermStructureHandle,A</v>
      </c>
    </row>
    <row r="20" spans="1:3" x14ac:dyDescent="0.25">
      <c r="A20" s="89" t="s">
        <v>183</v>
      </c>
      <c r="B20" s="29" t="str">
        <f>_xll.qlZeroInflationIndex(B9,B10,B11,B12,B13,B14,B19,B19)</f>
        <v>欣[test_bonds.xlsx]CPIBond!R20C2ZeroInflationIndex,A</v>
      </c>
      <c r="C20" s="30" t="str">
        <f>_xll.qlZeroInflationIndex(C9,C10,C11,C12,C13,C14,C19,C19)</f>
        <v>欣[test_bonds.xlsx]CPIBond!R20C3ZeroInflationIndex,A</v>
      </c>
    </row>
    <row r="21" spans="1:3" x14ac:dyDescent="0.25">
      <c r="A21" s="31" t="s">
        <v>128</v>
      </c>
      <c r="B21" s="39">
        <v>45293</v>
      </c>
      <c r="C21" s="40">
        <v>45293</v>
      </c>
    </row>
    <row r="22" spans="1:3" x14ac:dyDescent="0.25">
      <c r="A22" s="21" t="s">
        <v>194</v>
      </c>
      <c r="B22" s="22">
        <v>100</v>
      </c>
      <c r="C22" s="23">
        <v>100</v>
      </c>
    </row>
    <row r="23" spans="1:3" x14ac:dyDescent="0.25">
      <c r="A23" s="90" t="s">
        <v>195</v>
      </c>
      <c r="B23" s="29" t="b">
        <f>_xll.qlIndexAddFixing(B20,B21,B22,TRUE,B20)</f>
        <v>1</v>
      </c>
      <c r="C23" s="30" t="b">
        <f>_xll.qlIndexAddFixing(C20,C21,C22,TRUE,C20)</f>
        <v>1</v>
      </c>
    </row>
    <row r="24" spans="1:3" x14ac:dyDescent="0.25">
      <c r="A24" s="24" t="s">
        <v>184</v>
      </c>
      <c r="B24" s="22" t="s">
        <v>196</v>
      </c>
      <c r="C24" s="23" t="s">
        <v>196</v>
      </c>
    </row>
    <row r="25" spans="1:3" x14ac:dyDescent="0.25">
      <c r="A25" s="31" t="s">
        <v>73</v>
      </c>
      <c r="B25" s="39">
        <v>45659</v>
      </c>
      <c r="C25" s="40">
        <v>45659</v>
      </c>
    </row>
    <row r="26" spans="1:3" x14ac:dyDescent="0.25">
      <c r="A26" s="21" t="s">
        <v>74</v>
      </c>
      <c r="B26" s="41">
        <v>47485</v>
      </c>
      <c r="C26" s="42">
        <v>47485</v>
      </c>
    </row>
    <row r="27" spans="1:3" x14ac:dyDescent="0.25">
      <c r="A27" s="21" t="s">
        <v>46</v>
      </c>
      <c r="B27" s="22" t="s">
        <v>158</v>
      </c>
      <c r="C27" s="23" t="s">
        <v>158</v>
      </c>
    </row>
    <row r="28" spans="1:3" x14ac:dyDescent="0.25">
      <c r="A28" s="21" t="s">
        <v>60</v>
      </c>
      <c r="B28" s="22" t="s">
        <v>197</v>
      </c>
      <c r="C28" s="23" t="s">
        <v>197</v>
      </c>
    </row>
    <row r="29" spans="1:3" x14ac:dyDescent="0.25">
      <c r="A29" s="21" t="s">
        <v>47</v>
      </c>
      <c r="B29" s="22" t="s">
        <v>53</v>
      </c>
      <c r="C29" s="23" t="s">
        <v>53</v>
      </c>
    </row>
    <row r="30" spans="1:3" x14ac:dyDescent="0.25">
      <c r="A30" s="21" t="s">
        <v>75</v>
      </c>
      <c r="B30" s="22" t="s">
        <v>53</v>
      </c>
      <c r="C30" s="23" t="s">
        <v>53</v>
      </c>
    </row>
    <row r="31" spans="1:3" x14ac:dyDescent="0.25">
      <c r="A31" s="21" t="s">
        <v>77</v>
      </c>
      <c r="B31" s="22" t="s">
        <v>159</v>
      </c>
      <c r="C31" s="23" t="s">
        <v>159</v>
      </c>
    </row>
    <row r="32" spans="1:3" x14ac:dyDescent="0.25">
      <c r="A32" s="21" t="s">
        <v>78</v>
      </c>
      <c r="B32" s="22" t="b">
        <v>0</v>
      </c>
      <c r="C32" s="23" t="b">
        <v>0</v>
      </c>
    </row>
    <row r="33" spans="1:3" x14ac:dyDescent="0.25">
      <c r="A33" s="38" t="s">
        <v>65</v>
      </c>
      <c r="B33" s="29" t="str">
        <f>_xll.qlSchedule(B25,B26,B27,B28,B29,B30,B31,B32,,,B23)</f>
        <v>欣[test_bonds.xlsx]CPIBond!R33C2Schedule,A</v>
      </c>
      <c r="C33" s="30" t="str">
        <f>_xll.qlSchedule(C25,C26,C27,C28,C29,C30,C31,C32,,,C23)</f>
        <v>欣[test_bonds.xlsx]CPIBond!R33C3Schedule,A</v>
      </c>
    </row>
    <row r="34" spans="1:3" x14ac:dyDescent="0.25">
      <c r="A34" s="24" t="s">
        <v>66</v>
      </c>
      <c r="B34" s="22">
        <v>0.03</v>
      </c>
      <c r="C34" s="23">
        <v>0.03</v>
      </c>
    </row>
    <row r="35" spans="1:3" x14ac:dyDescent="0.25">
      <c r="A35" s="24" t="s">
        <v>83</v>
      </c>
      <c r="B35" s="22" t="s">
        <v>167</v>
      </c>
      <c r="C35" s="23" t="s">
        <v>167</v>
      </c>
    </row>
    <row r="36" spans="1:3" x14ac:dyDescent="0.25">
      <c r="A36" s="24" t="s">
        <v>84</v>
      </c>
      <c r="B36" s="22" t="s">
        <v>81</v>
      </c>
      <c r="C36" s="23" t="s">
        <v>81</v>
      </c>
    </row>
    <row r="37" spans="1:3" x14ac:dyDescent="0.25">
      <c r="A37" s="24" t="s">
        <v>17</v>
      </c>
      <c r="B37" s="41">
        <v>45689</v>
      </c>
      <c r="C37" s="42">
        <v>45689</v>
      </c>
    </row>
    <row r="38" spans="1:3" x14ac:dyDescent="0.25">
      <c r="A38" s="24" t="s">
        <v>68</v>
      </c>
      <c r="B38" s="22"/>
      <c r="C38" s="23" t="s">
        <v>197</v>
      </c>
    </row>
    <row r="39" spans="1:3" x14ac:dyDescent="0.25">
      <c r="A39" s="24" t="s">
        <v>69</v>
      </c>
      <c r="B39" s="22"/>
      <c r="C39" s="23" t="s">
        <v>76</v>
      </c>
    </row>
    <row r="40" spans="1:3" x14ac:dyDescent="0.25">
      <c r="A40" s="24" t="s">
        <v>70</v>
      </c>
      <c r="B40" s="22"/>
      <c r="C40" s="23" t="s">
        <v>197</v>
      </c>
    </row>
    <row r="41" spans="1:3" x14ac:dyDescent="0.25">
      <c r="A41" s="24" t="s">
        <v>71</v>
      </c>
      <c r="B41" s="22"/>
      <c r="C41" s="23" t="s">
        <v>64</v>
      </c>
    </row>
    <row r="42" spans="1:3" x14ac:dyDescent="0.25">
      <c r="A42" s="24" t="s">
        <v>72</v>
      </c>
      <c r="B42" s="22"/>
      <c r="C42" s="23" t="b">
        <v>0</v>
      </c>
    </row>
    <row r="43" spans="1:3" x14ac:dyDescent="0.25">
      <c r="A43" s="43" t="s">
        <v>198</v>
      </c>
      <c r="B43" s="30" t="str">
        <f>_xll.qlCPIBond(B4,B5,B6,B7,B8,B20,B24,B33,B34,B35,B36,B37,,,,,,B33)</f>
        <v>欣[test_bonds.xlsx]CPIBond!R43C2CPIBond,A</v>
      </c>
      <c r="C43" s="30" t="str">
        <f>_xll.qlCPIBond(C4,C5,C6,C7,C8,C20,C24,C33,C34,C35,C36,C37,C38,C39,C40,C41,C42,C33)</f>
        <v>欣[test_bonds.xlsx]CPIBond!R43C3CPIBond,A</v>
      </c>
    </row>
    <row r="44" spans="1:3" x14ac:dyDescent="0.25">
      <c r="A44" s="92" t="s">
        <v>20</v>
      </c>
      <c r="B44" s="19">
        <f>_xll.qlBondNextCouponRate(B43,,B43)</f>
        <v>3.0906838410957833E-2</v>
      </c>
      <c r="C44" s="20">
        <f>_xll.qlBondNextCouponRate(C43,,C43)</f>
        <v>3.0906838410957833E-2</v>
      </c>
    </row>
    <row r="45" spans="1:3" x14ac:dyDescent="0.25">
      <c r="A45" s="69" t="s">
        <v>21</v>
      </c>
      <c r="B45" s="67">
        <f>_xll.qlBondPreviousCouponRate(B43,,B43)</f>
        <v>0</v>
      </c>
      <c r="C45" s="68">
        <f>_xll.qlBondPreviousCouponRate(C43,,C43)</f>
        <v>0</v>
      </c>
    </row>
    <row r="46" spans="1:3" x14ac:dyDescent="0.25">
      <c r="A46" s="26" t="s">
        <v>22</v>
      </c>
      <c r="B46" s="41">
        <f>_xll.qlBondNextCashFlowDate(B43,,B43)</f>
        <v>45840</v>
      </c>
      <c r="C46" s="42">
        <f>_xll.qlBondNextCashFlowDate(C43,,C43)</f>
        <v>45840</v>
      </c>
    </row>
    <row r="47" spans="1:3" x14ac:dyDescent="0.25">
      <c r="A47" s="69" t="s">
        <v>23</v>
      </c>
      <c r="B47" s="94">
        <f>_xll.qlBondPreviousCashFlowDate(B43,,B43)</f>
        <v>0</v>
      </c>
      <c r="C47" s="87">
        <f>_xll.qlBondPreviousCashFlowDate(C43,,C43)</f>
        <v>0</v>
      </c>
    </row>
    <row r="48" spans="1:3" x14ac:dyDescent="0.25">
      <c r="A48" s="93" t="s">
        <v>24</v>
      </c>
      <c r="B48" s="22">
        <f>_xll.qlBondSettlementDays(B43,B43)</f>
        <v>2</v>
      </c>
      <c r="C48" s="23">
        <f>_xll.qlBondSettlementDays(C43,C43)</f>
        <v>2</v>
      </c>
    </row>
    <row r="49" spans="1:3" x14ac:dyDescent="0.25">
      <c r="A49" s="69" t="s">
        <v>25</v>
      </c>
      <c r="B49" s="94">
        <f>_xll.qlBondSettlementDate(B43,,B43)</f>
        <v>45689</v>
      </c>
      <c r="C49" s="87">
        <f>_xll.qlBondSettlementDate(C43,,C43)</f>
        <v>45689</v>
      </c>
    </row>
    <row r="50" spans="1:3" x14ac:dyDescent="0.25">
      <c r="A50" s="26" t="s">
        <v>26</v>
      </c>
      <c r="B50" s="22" t="b">
        <f>_xll.qlBondIsTradable(B43,,B43)</f>
        <v>1</v>
      </c>
      <c r="C50" s="23" t="b">
        <f>_xll.qlBondIsTradable(C43,,C43)</f>
        <v>1</v>
      </c>
    </row>
    <row r="51" spans="1:3" x14ac:dyDescent="0.25">
      <c r="A51" s="69" t="s">
        <v>27</v>
      </c>
      <c r="B51" s="94">
        <f>_xll.qlBondStartDate(B43,B43)</f>
        <v>45659</v>
      </c>
      <c r="C51" s="87">
        <f>_xll.qlBondStartDate(C43,C43)</f>
        <v>45659</v>
      </c>
    </row>
    <row r="52" spans="1:3" x14ac:dyDescent="0.25">
      <c r="A52" s="93" t="s">
        <v>28</v>
      </c>
      <c r="B52" s="41">
        <f>_xll.qlBondMaturityDate(B43,B43)</f>
        <v>47485</v>
      </c>
      <c r="C52" s="42">
        <f>_xll.qlBondMaturityDate(C43,C43)</f>
        <v>47485</v>
      </c>
    </row>
    <row r="53" spans="1:3" x14ac:dyDescent="0.25">
      <c r="A53" s="95" t="s">
        <v>29</v>
      </c>
      <c r="B53" s="67">
        <f>_xll.qlBondIssueDate(B43,B43)</f>
        <v>45689</v>
      </c>
      <c r="C53" s="68">
        <f>_xll.qlBondIssueDate(C43,C43)</f>
        <v>45689</v>
      </c>
    </row>
    <row r="54" spans="1:3" x14ac:dyDescent="0.25">
      <c r="A54" s="26" t="s">
        <v>30</v>
      </c>
      <c r="B54" s="22" t="str">
        <f>_xll.qlBondCashFlows(B43,B43)</f>
        <v>欣[test_bonds.xlsx]CPIBond!R54C2CashFlow,A</v>
      </c>
      <c r="C54" s="23" t="str">
        <f>_xll.qlBondCashFlows(C43,C43)</f>
        <v>欣[test_bonds.xlsx]CPIBond!R54C3CashFlow,A</v>
      </c>
    </row>
    <row r="55" spans="1:3" x14ac:dyDescent="0.25">
      <c r="A55" s="69" t="s">
        <v>57</v>
      </c>
      <c r="B55" s="67" t="str">
        <f>_xll.qlBondRedemption(B43,B43)</f>
        <v>欣[test_bonds.xlsx]CPIBond!R55C2CashFlow,A</v>
      </c>
      <c r="C55" s="68" t="str">
        <f>_xll.qlBondRedemption(C43,C43)</f>
        <v>欣[test_bonds.xlsx]CPIBond!R55C3CashFlow,A</v>
      </c>
    </row>
    <row r="56" spans="1:3" x14ac:dyDescent="0.25">
      <c r="A56" s="93" t="s">
        <v>58</v>
      </c>
      <c r="B56" s="22" t="str">
        <f>_xll.qlBondRedemptions(B43,B43)</f>
        <v>欣[test_bonds.xlsx]CPIBond!R56C2CashFlow,A</v>
      </c>
      <c r="C56" s="23" t="str">
        <f>_xll.qlBondRedemptions(C43,C43)</f>
        <v>欣[test_bonds.xlsx]CPIBond!R56C3CashFlow,A</v>
      </c>
    </row>
    <row r="57" spans="1:3" x14ac:dyDescent="0.25">
      <c r="A57" s="69" t="s">
        <v>31</v>
      </c>
      <c r="B57" s="67" t="str">
        <f>_xll.qlBondCalendar(B43,B43)</f>
        <v>TARGET</v>
      </c>
      <c r="C57" s="68" t="str">
        <f>_xll.qlBondCalendar(C43,C43)</f>
        <v>TARGET</v>
      </c>
    </row>
    <row r="58" spans="1:3" x14ac:dyDescent="0.25">
      <c r="A58" s="26" t="s">
        <v>32</v>
      </c>
      <c r="B58" s="22">
        <f>_xll.qlBondNotional(B43)</f>
        <v>100</v>
      </c>
      <c r="C58" s="23">
        <f>_xll.qlBondNotional(C43)</f>
        <v>100</v>
      </c>
    </row>
    <row r="59" spans="1:3" x14ac:dyDescent="0.25">
      <c r="A59" s="50" t="s">
        <v>59</v>
      </c>
      <c r="B59" s="67">
        <f>_xll.qlBondNotionals(B43:B43)</f>
        <v>100</v>
      </c>
      <c r="C59" s="68">
        <f>_xll.qlBondNotionals(C43:C43)</f>
        <v>100</v>
      </c>
    </row>
    <row r="60" spans="1:3" x14ac:dyDescent="0.25">
      <c r="A60" s="45" t="s">
        <v>55</v>
      </c>
      <c r="B60" s="19" t="str">
        <f>_xll.qlFlatForward($B$1,0.03,"actual360","compounded","Annual",B43)</f>
        <v>欣[test_bonds.xlsx]CPIBond!R60C2YieldTermStructureHandle,A</v>
      </c>
      <c r="C60" s="20" t="str">
        <f>_xll.qlFlatForward($B$1,0.03,"actual360","compounded","Annual",C43)</f>
        <v>欣[test_bonds.xlsx]CPIBond!R60C3YieldTermStructureHandle,A</v>
      </c>
    </row>
    <row r="61" spans="1:3" x14ac:dyDescent="0.25">
      <c r="A61" s="28" t="s">
        <v>150</v>
      </c>
      <c r="B61" s="22" t="str">
        <f>_xll.qlDiscountingBondEngine(B60,B60)</f>
        <v>欣[test_bonds.xlsx]CPIBond!R61C2DiscountingBondEngine,A</v>
      </c>
      <c r="C61" s="23" t="str">
        <f>_xll.qlDiscountingBondEngine(C60,C60)</f>
        <v>欣[test_bonds.xlsx]CPIBond!R61C3DiscountingBondEngine,A</v>
      </c>
    </row>
    <row r="62" spans="1:3" x14ac:dyDescent="0.25">
      <c r="A62" s="25" t="s">
        <v>151</v>
      </c>
      <c r="B62" s="22" t="b">
        <f>_xll.qlInstrumentSetPricingEngine(B43,B61,B61)</f>
        <v>1</v>
      </c>
      <c r="C62" s="23" t="b">
        <f>_xll.qlInstrumentSetPricingEngine(C43,C61,C61)</f>
        <v>1</v>
      </c>
    </row>
    <row r="63" spans="1:3" x14ac:dyDescent="0.25">
      <c r="A63" s="26" t="s">
        <v>33</v>
      </c>
      <c r="B63" s="48">
        <f>_xll.qlBondCleanPrice(B43,B62)</f>
        <v>109.81755839471742</v>
      </c>
      <c r="C63" s="49">
        <f>_xll.qlBondCleanPrice(C43,C62)</f>
        <v>109.81755839471742</v>
      </c>
    </row>
    <row r="64" spans="1:3" x14ac:dyDescent="0.25">
      <c r="A64" s="45" t="s">
        <v>56</v>
      </c>
      <c r="B64" s="46">
        <v>2.9558800538580478E-2</v>
      </c>
      <c r="C64" s="47">
        <v>2.9558800538580478E-2</v>
      </c>
    </row>
    <row r="65" spans="1:3" x14ac:dyDescent="0.25">
      <c r="A65" s="28" t="s">
        <v>34</v>
      </c>
      <c r="B65" s="48">
        <f>_xll.qlBondCleanPrice2(B43,B64,"actual360","continuous",,,B62)</f>
        <v>109.81755927179813</v>
      </c>
      <c r="C65" s="49">
        <f>_xll.qlBondCleanPrice2(C43,C64,"actual360","continuous",,,C62)</f>
        <v>109.81755927179813</v>
      </c>
    </row>
    <row r="66" spans="1:3" x14ac:dyDescent="0.25">
      <c r="A66" s="26" t="s">
        <v>35</v>
      </c>
      <c r="B66" s="61">
        <f>_xll.qlBondDirtyPrice(B43,B62)</f>
        <v>110.06455373642939</v>
      </c>
      <c r="C66" s="62">
        <f>_xll.qlBondDirtyPrice(C43,C62)</f>
        <v>110.06455373642939</v>
      </c>
    </row>
    <row r="67" spans="1:3" x14ac:dyDescent="0.25">
      <c r="A67" s="50" t="s">
        <v>36</v>
      </c>
      <c r="B67" s="51">
        <f>_xll.qlBondDirtyPrice2(B43,B64,"actual360","CONTINUOUS","annual",,B62)</f>
        <v>110.0645546135101</v>
      </c>
      <c r="C67" s="52">
        <f>_xll.qlBondDirtyPrice2(C43,C64,"actual360","CONTINUOUS","annual",,C62)</f>
        <v>110.0645546135101</v>
      </c>
    </row>
    <row r="68" spans="1:3" x14ac:dyDescent="0.25">
      <c r="A68" s="26" t="s">
        <v>37</v>
      </c>
      <c r="B68" s="61">
        <f>_xll.qlBondYield(B43,"actual360","CONTINUOUS","annual",,,B62)</f>
        <v>2.9558802241544384E-2</v>
      </c>
      <c r="C68" s="62">
        <f>_xll.qlBondYield(C43,"actual360","CONTINUOUS","annual",,,C62)</f>
        <v>2.9558802241544384E-2</v>
      </c>
    </row>
    <row r="69" spans="1:3" x14ac:dyDescent="0.25">
      <c r="A69" s="45" t="s">
        <v>120</v>
      </c>
      <c r="B69" s="46" t="str">
        <f>_xll.qlBondPrice(B63,"clean",B63)</f>
        <v>欣[test_bonds.xlsx]CPIBond!R69C2BondPrice,A</v>
      </c>
      <c r="C69" s="47" t="str">
        <f>_xll.qlBondPrice(C63,"clean",C63)</f>
        <v>欣[test_bonds.xlsx]CPIBond!R69C3BondPrice,A</v>
      </c>
    </row>
    <row r="70" spans="1:3" x14ac:dyDescent="0.25">
      <c r="A70" s="28" t="s">
        <v>38</v>
      </c>
      <c r="B70" s="48">
        <f>_xll.qlBondYield2(B43,B69,"actual360","CONTINUOUS","annual",,,,,B69)</f>
        <v>2.9558802241544384E-2</v>
      </c>
      <c r="C70" s="49">
        <f>_xll.qlBondYield2(C43,C69,"actual360","CONTINUOUS","annual",,,,,C69)</f>
        <v>2.9558802241544384E-2</v>
      </c>
    </row>
    <row r="71" spans="1:3" x14ac:dyDescent="0.25">
      <c r="A71" s="45" t="s">
        <v>54</v>
      </c>
      <c r="B71" s="39">
        <v>45667</v>
      </c>
      <c r="C71" s="40">
        <v>45667</v>
      </c>
    </row>
    <row r="72" spans="1:3" x14ac:dyDescent="0.25">
      <c r="A72" s="28" t="s">
        <v>39</v>
      </c>
      <c r="B72" s="48">
        <f>_xll.qlBondAccruedAmount(B43,B71,B62)</f>
        <v>6.57859407282088E-2</v>
      </c>
      <c r="C72" s="49">
        <f>_xll.qlBondAccruedAmount(C43,C71,C62)</f>
        <v>6.57859407282088E-2</v>
      </c>
    </row>
    <row r="73" spans="1:3" x14ac:dyDescent="0.25">
      <c r="A73" s="26" t="s">
        <v>40</v>
      </c>
      <c r="B73" s="61">
        <f>_xll.qlBondSettlementValue(B43,B62)</f>
        <v>110.06455373642939</v>
      </c>
      <c r="C73" s="62">
        <f>_xll.qlBondSettlementValue(C43,C62)</f>
        <v>110.06455373642939</v>
      </c>
    </row>
    <row r="74" spans="1:3" x14ac:dyDescent="0.25">
      <c r="A74" s="50" t="s">
        <v>41</v>
      </c>
      <c r="B74" s="51">
        <f>_xll.qlBondSettlementValue2(B43,B63)</f>
        <v>110.06455373642939</v>
      </c>
      <c r="C74" s="52">
        <f>_xll.qlBondSettlementValue2(C43,C63)</f>
        <v>110.06455373642939</v>
      </c>
    </row>
    <row r="75" spans="1:3" x14ac:dyDescent="0.25">
      <c r="A75" s="45" t="s">
        <v>153</v>
      </c>
      <c r="B75" s="46" t="str">
        <f>_xll.qlFlatForward($B$1,0.03,"actual365fixed",,,B43)</f>
        <v>欣[test_bonds.xlsx]CPIBond!R75C2YieldTermStructureHandle,A</v>
      </c>
      <c r="C75" s="47" t="str">
        <f>_xll.qlFlatForward($B$1,0.03,"actual365fixed",,,C43)</f>
        <v>欣[test_bonds.xlsx]CPIBond!R75C3YieldTermStructureHandle,A</v>
      </c>
    </row>
    <row r="76" spans="1:3" x14ac:dyDescent="0.25">
      <c r="A76" s="25" t="s">
        <v>162</v>
      </c>
      <c r="B76" s="61">
        <v>5.0000000000000001E-3</v>
      </c>
      <c r="C76" s="62">
        <v>5.0000000000000001E-3</v>
      </c>
    </row>
    <row r="77" spans="1:3" x14ac:dyDescent="0.25">
      <c r="A77" s="25" t="s">
        <v>164</v>
      </c>
      <c r="B77" s="61" t="s">
        <v>167</v>
      </c>
      <c r="C77" s="62" t="s">
        <v>167</v>
      </c>
    </row>
    <row r="78" spans="1:3" x14ac:dyDescent="0.25">
      <c r="A78" s="25" t="s">
        <v>163</v>
      </c>
      <c r="B78" s="61" t="s">
        <v>168</v>
      </c>
      <c r="C78" s="62" t="s">
        <v>168</v>
      </c>
    </row>
    <row r="79" spans="1:3" x14ac:dyDescent="0.25">
      <c r="A79" s="25" t="s">
        <v>165</v>
      </c>
      <c r="B79" s="61" t="s">
        <v>169</v>
      </c>
      <c r="C79" s="62" t="s">
        <v>169</v>
      </c>
    </row>
    <row r="80" spans="1:3" x14ac:dyDescent="0.25">
      <c r="A80" s="25" t="s">
        <v>166</v>
      </c>
      <c r="B80" s="61"/>
      <c r="C80" s="62"/>
    </row>
    <row r="81" spans="1:3" x14ac:dyDescent="0.25">
      <c r="A81" s="28" t="s">
        <v>161</v>
      </c>
      <c r="B81" s="29">
        <f>_xll.qlBondCleanPriceFromZSpread(B43,B75,B76,B77,B78,B79,,B75)</f>
        <v>107.37186093315256</v>
      </c>
      <c r="C81" s="30">
        <f>_xll.qlBondCleanPriceFromZSpread(C43,C75,C76,C77,C78,C79,,C75)</f>
        <v>107.37186093315256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Tabs</vt:lpstr>
      <vt:lpstr>BondPrice</vt:lpstr>
      <vt:lpstr>BondSinkingSchedule_Notionals</vt:lpstr>
      <vt:lpstr>Bond</vt:lpstr>
      <vt:lpstr>ZeroCouponBond</vt:lpstr>
      <vt:lpstr>FixedRateBond</vt:lpstr>
      <vt:lpstr>AmortizingFixedRateBond</vt:lpstr>
      <vt:lpstr>AmortizingFloatingRateBond</vt:lpstr>
      <vt:lpstr>FloatingRateBond</vt:lpstr>
      <vt:lpstr>CmsRateBond</vt:lpstr>
      <vt:lpstr>AmortizingCmsRateBond</vt:lpstr>
      <vt:lpstr>Callability</vt:lpstr>
      <vt:lpstr>CallableFixedRateBond</vt:lpstr>
      <vt:lpstr>CallableZeroCouponBond</vt:lpstr>
      <vt:lpstr>CPIBond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2026-05-29T12:27:41Z</dcterms:created>
  <dcterms:modified xsi:type="dcterms:W3CDTF">2026-10-19T08:03:10Z</dcterms:modified>
</cp:coreProperties>
</file>