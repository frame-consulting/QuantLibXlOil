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88226620-76FA-4C89-91F3-0575218519D8}" xr6:coauthVersionLast="47" xr6:coauthVersionMax="47" xr10:uidLastSave="{00000000-0000-0000-0000-000000000000}"/>
  <bookViews>
    <workbookView xWindow="-120" yWindow="-120" windowWidth="29040" windowHeight="15720" xr2:uid="{5088EC6F-18E0-4AC9-9BC5-4CE1169B8F7F}"/>
  </bookViews>
  <sheets>
    <sheet name="qlInterpolatedYield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4" i="1" l="1"/>
  <c r="D9" i="1"/>
  <c r="D8" i="1"/>
  <c r="D7" i="1"/>
  <c r="D6" i="1"/>
  <c r="D5" i="1"/>
  <c r="B5" i="1"/>
  <c r="C5" i="1" s="1"/>
  <c r="C43" i="1" a="1"/>
  <c r="C43" i="1" l="1"/>
  <c r="B6" i="1"/>
  <c r="C50" i="1" a="1"/>
  <c r="C50" i="1" l="1"/>
  <c r="C6" i="1"/>
  <c r="B7" i="1"/>
  <c r="C7" i="1" l="1"/>
  <c r="B8" i="1"/>
  <c r="C8" i="1" l="1"/>
  <c r="B9" i="1"/>
  <c r="C40" i="1" a="1"/>
  <c r="C39" i="1" a="1"/>
  <c r="C39" i="1" l="1"/>
  <c r="C40" i="1"/>
  <c r="C9" i="1"/>
  <c r="C25" i="1" a="1"/>
  <c r="C31" i="1" a="1"/>
  <c r="C36" i="1" a="1"/>
  <c r="C32" i="1" a="1"/>
  <c r="C38" i="1" a="1"/>
  <c r="C26" i="1" a="1"/>
  <c r="C27" i="1" a="1"/>
  <c r="C29" i="1" a="1"/>
  <c r="C34" i="1" a="1"/>
  <c r="C30" i="1" a="1"/>
  <c r="C35" i="1" a="1"/>
  <c r="C25" i="1" l="1"/>
  <c r="C35" i="1"/>
  <c r="C30" i="1"/>
  <c r="C34" i="1"/>
  <c r="C29" i="1"/>
  <c r="C27" i="1"/>
  <c r="C26" i="1"/>
  <c r="C38" i="1"/>
  <c r="C32" i="1"/>
  <c r="C36" i="1"/>
  <c r="C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<sst xmlns="http://schemas.openxmlformats.org/spreadsheetml/2006/main" count="33" uniqueCount="26">
  <si>
    <t>Dates</t>
  </si>
  <si>
    <t>Rate</t>
  </si>
  <si>
    <t>Calendar</t>
  </si>
  <si>
    <t>NullCalendar</t>
  </si>
  <si>
    <t>DayCounter</t>
  </si>
  <si>
    <t>Interpolator</t>
  </si>
  <si>
    <t>Actual365Fixed</t>
  </si>
  <si>
    <t>qlInterpolatedYieldCurve</t>
  </si>
  <si>
    <t>Discount</t>
  </si>
  <si>
    <t>Trait</t>
  </si>
  <si>
    <t>LogDiscount</t>
  </si>
  <si>
    <t>ForwardRate</t>
  </si>
  <si>
    <t>ZeroRate</t>
  </si>
  <si>
    <t>Linear</t>
  </si>
  <si>
    <t>Cubic</t>
  </si>
  <si>
    <t>Kruger</t>
  </si>
  <si>
    <t>BackwardFlat</t>
  </si>
  <si>
    <t>ForwardFlat</t>
  </si>
  <si>
    <t>MonotonicCubic</t>
  </si>
  <si>
    <t>qlDiscountCurve</t>
  </si>
  <si>
    <t>qlForwardCurve</t>
  </si>
  <si>
    <t>qlZeroCurve</t>
  </si>
  <si>
    <t>qlLogCubicSpreadDiscountCurve</t>
  </si>
  <si>
    <t>base_curve</t>
  </si>
  <si>
    <t>dates</t>
  </si>
  <si>
    <t>discount_factors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</si>
</sst>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1B30-2282-4CB0-BC3A-F4A304EAB6FC}">
  <dimension ref="A2:D50"/>
  <sheetViews>
    <sheetView tabSelected="1" workbookViewId="0"/>
  </sheetViews>
  <sheetFormatPr baseColWidth="10" defaultColWidth="9" defaultRowHeight="15" x14ac:dyDescent="0.25"/>
  <cols>
    <col min="1" max="1" width="30" bestFit="1" customWidth="1"/>
    <col min="2" max="2" width="10.140625" bestFit="1" customWidth="1"/>
    <col min="3" max="3" width="90.85546875" customWidth="1"/>
  </cols>
  <sheetData>
    <row r="2" spans="1:4" x14ac:dyDescent="0.25">
      <c r="B2" t="s">
        <v>1</v>
      </c>
      <c r="C2">
        <v>0.03</v>
      </c>
    </row>
    <row r="4" spans="1:4" x14ac:dyDescent="0.25">
      <c r="B4" t="s">
        <v>0</v>
      </c>
      <c r="C4" t="s">
        <v>8</v>
      </c>
      <c r="D4" t="s">
        <v>1</v>
      </c>
    </row>
    <row r="5" spans="1:4" x14ac:dyDescent="0.25">
      <c r="B5" s="1">
        <f ca="1">TODAY()</f>
        <v>46314</v>
      </c>
      <c r="C5" s="2">
        <f ca="1">EXP(-$C$2*(B5-$B$5)/365)</f>
        <v>1</v>
      </c>
      <c r="D5">
        <f>$C$2</f>
        <v>0.03</v>
      </c>
    </row>
    <row r="6" spans="1:4" x14ac:dyDescent="0.25">
      <c r="B6" s="1">
        <f ca="1">B5+365</f>
        <v>46679</v>
      </c>
      <c r="C6" s="2">
        <f ca="1">EXP(-$C$2*(B6-$B$5)/365)</f>
        <v>0.97044553354850815</v>
      </c>
      <c r="D6">
        <f>$C$2</f>
        <v>0.03</v>
      </c>
    </row>
    <row r="7" spans="1:4" x14ac:dyDescent="0.25">
      <c r="B7" s="1">
        <f ca="1">B6+365</f>
        <v>47044</v>
      </c>
      <c r="C7" s="2">
        <f ca="1">EXP(-$C$2*(B7-$B$5)/365)</f>
        <v>0.94176453358424872</v>
      </c>
      <c r="D7">
        <f>$C$2</f>
        <v>0.03</v>
      </c>
    </row>
    <row r="8" spans="1:4" x14ac:dyDescent="0.25">
      <c r="B8" s="1">
        <f ca="1">B7+365</f>
        <v>47409</v>
      </c>
      <c r="C8" s="2">
        <f ca="1">EXP(-$C$2*(B8-$B$5)/365)</f>
        <v>0.91393118527122819</v>
      </c>
      <c r="D8">
        <f>$C$2</f>
        <v>0.03</v>
      </c>
    </row>
    <row r="9" spans="1:4" x14ac:dyDescent="0.25">
      <c r="B9" s="1">
        <f ca="1">B8+365</f>
        <v>47774</v>
      </c>
      <c r="C9" s="2">
        <f ca="1">EXP(-$C$2*(B9-$B$5)/365)</f>
        <v>0.88692043671715748</v>
      </c>
      <c r="D9">
        <f>$C$2</f>
        <v>0.03</v>
      </c>
    </row>
    <row r="11" spans="1:4" x14ac:dyDescent="0.25">
      <c r="A11" t="s">
        <v>4</v>
      </c>
      <c r="C11" t="s">
        <v>6</v>
      </c>
    </row>
    <row r="12" spans="1:4" x14ac:dyDescent="0.25">
      <c r="A12" t="s">
        <v>2</v>
      </c>
      <c r="C12" t="s">
        <v>3</v>
      </c>
    </row>
    <row r="14" spans="1:4" x14ac:dyDescent="0.25">
      <c r="A14" t="s">
        <v>9</v>
      </c>
      <c r="C14" t="s">
        <v>10</v>
      </c>
    </row>
    <row r="15" spans="1:4" x14ac:dyDescent="0.25">
      <c r="C15" t="s">
        <v>11</v>
      </c>
    </row>
    <row r="16" spans="1:4" x14ac:dyDescent="0.25">
      <c r="C16" t="s">
        <v>12</v>
      </c>
    </row>
    <row r="18" spans="1:3" x14ac:dyDescent="0.25">
      <c r="A18" t="s">
        <v>5</v>
      </c>
      <c r="C18" t="s">
        <v>13</v>
      </c>
    </row>
    <row r="19" spans="1:3" x14ac:dyDescent="0.25">
      <c r="C19" t="s">
        <v>14</v>
      </c>
    </row>
    <row r="20" spans="1:3" x14ac:dyDescent="0.25">
      <c r="C20" t="s">
        <v>15</v>
      </c>
    </row>
    <row r="21" spans="1:3" x14ac:dyDescent="0.25">
      <c r="C21" t="s">
        <v>16</v>
      </c>
    </row>
    <row r="22" spans="1:3" x14ac:dyDescent="0.25">
      <c r="C22" t="s">
        <v>17</v>
      </c>
    </row>
    <row r="23" spans="1:3" x14ac:dyDescent="0.25">
      <c r="C23" t="s">
        <v>18</v>
      </c>
    </row>
    <row r="25" spans="1:3" x14ac:dyDescent="0.25">
      <c r="A25" t="s">
        <v>7</v>
      </c>
      <c r="C25" t="str" cm="1">
        <f t="array" aca="1" ref="C25" ca="1">_xll.qlInterpolatedYieldCurve($B$5:$B$9,$C$5:$C$9,$C$11,$C$12,$C$14,C18)</f>
        <v>欣[test_interpolatedyieldcurves.xlsx]qlInterpolatedYieldCurve!R25C3YieldTermStructureHandle,A</v>
      </c>
    </row>
    <row r="26" spans="1:3" x14ac:dyDescent="0.25">
      <c r="C26" t="str">
        <f t="array" aca="1" ref="C26" ca="1">_xll.qlInterpolatedYieldCurve($B$5:$B$9,$C$5:$C$9,$C$11,$C$12,$C$14,C19)</f>
        <v>欣[test_interpolatedyieldcurves.xlsx]qlInterpolatedYieldCurve!R26C3YieldTermStructureHandle,A</v>
      </c>
    </row>
    <row r="27" spans="1:3" x14ac:dyDescent="0.25">
      <c r="C27" t="str">
        <f t="array" aca="1" ref="C27" ca="1">_xll.qlInterpolatedYieldCurve($B$5:$B$9,$C$5:$C$9,$C$11,$C$12,$C$14,C20)</f>
        <v>欣[test_interpolatedyieldcurves.xlsx]qlInterpolatedYieldCurve!R27C3YieldTermStructureHandle,A</v>
      </c>
    </row>
    <row r="29" spans="1:3" x14ac:dyDescent="0.25">
      <c r="A29" t="s">
        <v>7</v>
      </c>
      <c r="C29" t="str">
        <f t="array" aca="1" ref="C29" ca="1">_xll.qlInterpolatedYieldCurve($B$5:$B$9,$C$5:$C$9,$C$11,$C$12,$C$15,C18)</f>
        <v>欣[test_interpolatedyieldcurves.xlsx]qlInterpolatedYieldCurve!R29C3YieldTermStructureHandle,A</v>
      </c>
    </row>
    <row r="30" spans="1:3" x14ac:dyDescent="0.25">
      <c r="C30" t="str">
        <f t="array" aca="1" ref="C30" ca="1">_xll.qlInterpolatedYieldCurve($B$5:$B$9,$C$5:$C$9,$C$11,$C$12,$C$15,C19)</f>
        <v>欣[test_interpolatedyieldcurves.xlsx]qlInterpolatedYieldCurve!R30C3YieldTermStructureHandle,A</v>
      </c>
    </row>
    <row r="31" spans="1:3" x14ac:dyDescent="0.25">
      <c r="C31" t="str">
        <f t="array" aca="1" ref="C31" ca="1">_xll.qlInterpolatedYieldCurve($B$5:$B$9,$C$5:$C$9,$C$11,$C$12,$C$15,C21)</f>
        <v>欣[test_interpolatedyieldcurves.xlsx]qlInterpolatedYieldCurve!R31C3YieldTermStructureHandle,A</v>
      </c>
    </row>
    <row r="32" spans="1:3" x14ac:dyDescent="0.25">
      <c r="C32" t="str">
        <f t="array" aca="1" ref="C32" ca="1">_xll.qlInterpolatedYieldCurve($B$5:$B$9,$C$5:$C$9,$C$11,$C$12,$C$15,C22)</f>
        <v>欣[test_interpolatedyieldcurves.xlsx]qlInterpolatedYieldCurve!R32C3YieldTermStructureHandle,A</v>
      </c>
    </row>
    <row r="34" spans="1:3" x14ac:dyDescent="0.25">
      <c r="A34" t="s">
        <v>7</v>
      </c>
      <c r="C34" t="str">
        <f t="array" aca="1" ref="C34" ca="1">_xll.qlInterpolatedYieldCurve($B$5:$B$9,$C$5:$C$9,$C$11,$C$12,$C$16,C18)</f>
        <v>欣[test_interpolatedyieldcurves.xlsx]qlInterpolatedYieldCurve!R34C3YieldTermStructureHandle,A</v>
      </c>
    </row>
    <row r="35" spans="1:3" x14ac:dyDescent="0.25">
      <c r="C35" t="str">
        <f t="array" aca="1" ref="C35" ca="1">_xll.qlInterpolatedYieldCurve($B$5:$B$9,$C$5:$C$9,$C$11,$C$12,$C$16,C19)</f>
        <v>欣[test_interpolatedyieldcurves.xlsx]qlInterpolatedYieldCurve!R35C3YieldTermStructureHandle,A</v>
      </c>
    </row>
    <row r="36" spans="1:3" x14ac:dyDescent="0.25">
      <c r="C36" t="str">
        <f t="array" aca="1" ref="C36" ca="1">_xll.qlInterpolatedYieldCurve($B$5:$B$9,$C$5:$C$9,$C$11,$C$12,$C$16,C23)</f>
        <v>欣[test_interpolatedyieldcurves.xlsx]qlInterpolatedYieldCurve!R36C3YieldTermStructureHandle,A</v>
      </c>
    </row>
    <row r="38" spans="1:3" x14ac:dyDescent="0.25">
      <c r="A38" t="s">
        <v>19</v>
      </c>
      <c r="C38" t="str">
        <f t="array" aca="1" ref="C38" ca="1">_xll.qlDiscountCurve(B5:B9,C5:C9,"actual365fixed")</f>
        <v>欣[test_interpolatedyieldcurves.xlsx]qlInterpolatedYieldCurve!R38C3YieldTermStructureHandle,A</v>
      </c>
    </row>
    <row r="39" spans="1:3" x14ac:dyDescent="0.25">
      <c r="A39" t="s">
        <v>20</v>
      </c>
      <c r="C39" t="str">
        <f t="array" aca="1" ref="C39" ca="1">_xll.qlForwardCurve(B5:B9,D5:D9,C11)</f>
        <v>欣[test_interpolatedyieldcurves.xlsx]qlInterpolatedYieldCurve!R39C3YieldTermStructureHandle,A</v>
      </c>
    </row>
    <row r="40" spans="1:3" x14ac:dyDescent="0.25">
      <c r="A40" t="s">
        <v>21</v>
      </c>
      <c r="C40" t="str">
        <f t="array" aca="1" ref="C40" ca="1">_xll.qlZeroCurve(B5:B9,D5:D9,,C12)</f>
        <v>欣[test_interpolatedyieldcurves.xlsx]qlInterpolatedYieldCurve!R40C3YieldTermStructureHandle,A</v>
      </c>
    </row>
    <row r="43" spans="1:3" x14ac:dyDescent="0.25">
      <c r="A43" s="3" t="s">
        <v>23</v>
      </c>
      <c r="B43" s="4"/>
      <c r="C43" s="5" t="str" cm="1">
        <f t="array" aca="1" ref="C43" ca="1">_xll.qlFlatForward(B5,0.03,"actual365fixed")</f>
        <v>欣[test_interpolatedyieldcurves.xlsx]qlInterpolatedYieldCurve!R43C3YieldTermStructureHandle,A</v>
      </c>
    </row>
    <row r="44" spans="1:3" x14ac:dyDescent="0.25">
      <c r="A44" s="6" t="s">
        <v>24</v>
      </c>
      <c r="B44" s="7"/>
      <c r="C44" s="8">
        <f ca="1">TODAY()</f>
        <v>46314</v>
      </c>
    </row>
    <row r="45" spans="1:3" x14ac:dyDescent="0.25">
      <c r="A45" s="6" t="s">
        <v>24</v>
      </c>
      <c r="B45" s="7"/>
      <c r="C45" s="8">
        <v>46679</v>
      </c>
    </row>
    <row r="46" spans="1:3" x14ac:dyDescent="0.25">
      <c r="A46" s="6" t="s">
        <v>24</v>
      </c>
      <c r="B46" s="7"/>
      <c r="C46" s="8">
        <v>47045</v>
      </c>
    </row>
    <row r="47" spans="1:3" x14ac:dyDescent="0.25">
      <c r="A47" s="6" t="s">
        <v>25</v>
      </c>
      <c r="B47" s="7"/>
      <c r="C47" s="9">
        <v>1</v>
      </c>
    </row>
    <row r="48" spans="1:3" x14ac:dyDescent="0.25">
      <c r="A48" s="6" t="s">
        <v>25</v>
      </c>
      <c r="B48" s="7"/>
      <c r="C48" s="9">
        <v>0.99</v>
      </c>
    </row>
    <row r="49" spans="1:3" x14ac:dyDescent="0.25">
      <c r="A49" s="6" t="s">
        <v>25</v>
      </c>
      <c r="B49" s="7"/>
      <c r="C49" s="9">
        <v>0.97</v>
      </c>
    </row>
    <row r="50" spans="1:3" x14ac:dyDescent="0.25">
      <c r="A50" s="10" t="s">
        <v>22</v>
      </c>
      <c r="B50" s="11"/>
      <c r="C50" s="12" t="str" cm="1">
        <f t="array" aca="1" ref="C50" ca="1">_xll.qlLogCubicSpreadDiscountCurve(C43,C44:C46,C47:C49)</f>
        <v>欣[test_interpolatedyieldcurves.xlsx]qlInterpolatedYieldCurve!R50C3LogCubicSpreadDiscountCurve,A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qlInterpolatedYieldCurve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2026-05-23T13:49:39Z</dcterms:created>
  <dcterms:modified xsi:type="dcterms:W3CDTF">2026-10-19T12:57:56Z</dcterms:modified>
</cp:coreProperties>
</file>