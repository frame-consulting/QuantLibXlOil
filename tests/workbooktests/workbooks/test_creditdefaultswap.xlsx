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D0E45C3B-E81B-451F-81C8-D702982E1945}" xr6:coauthVersionLast="36" xr6:coauthVersionMax="47" xr10:uidLastSave="{00000000-0000-0000-0000-000000000000}"/>
  <bookViews>
    <workbookView xWindow="-120" yWindow="-21720" windowWidth="38640" windowHeight="21120" xr2:uid="{91D19581-6C36-46DE-A860-F049E5DCF68D}"/>
  </bookViews>
  <sheets>
    <sheet name="qlCreditdefaultswap" sheetId="1" r:id="rId1"/>
    <sheet name="qlMakeCreditDefaultSwap" sheetId="3" r:id="rId2"/>
    <sheet name="qlCdsOp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4" i="1" l="1"/>
  <c r="C69" i="1"/>
  <c r="B69" i="1"/>
  <c r="B30" i="1"/>
  <c r="C26" i="1"/>
  <c r="B26" i="1"/>
  <c r="B2" i="1" a="1"/>
  <c r="B6" i="1"/>
  <c r="B2" i="3" a="1"/>
  <c r="B7" i="2"/>
  <c r="B2" i="2" a="1"/>
  <c r="C71" i="1" l="1"/>
  <c r="B71" i="1"/>
  <c r="C27" i="1"/>
  <c r="B27" i="1"/>
  <c r="B2" i="1"/>
  <c r="B2" i="3"/>
  <c r="B2" i="2"/>
  <c r="B10" i="1" a="1"/>
  <c r="B4" i="1"/>
  <c r="B15" i="1" a="1"/>
  <c r="B6" i="3" a="1"/>
  <c r="B4" i="3"/>
  <c r="B19" i="2" a="1"/>
  <c r="B4" i="2" a="1"/>
  <c r="B16" i="2"/>
  <c r="B5" i="2" a="1"/>
  <c r="B15" i="1" l="1"/>
  <c r="B10" i="1"/>
  <c r="C70" i="1"/>
  <c r="B70" i="1"/>
  <c r="B6" i="3"/>
  <c r="B20" i="3"/>
  <c r="B5" i="2"/>
  <c r="B4" i="2"/>
  <c r="B19" i="2"/>
  <c r="B100" i="1" a="1"/>
  <c r="B56" i="1" a="1"/>
  <c r="B99" i="1" a="1"/>
  <c r="B101" i="1" a="1"/>
  <c r="B98" i="1" a="1"/>
  <c r="B54" i="1" a="1"/>
  <c r="B53" i="1" a="1"/>
  <c r="B55" i="1" a="1"/>
  <c r="B12" i="1" a="1"/>
  <c r="B7" i="3" a="1"/>
  <c r="B10" i="2" a="1"/>
  <c r="B6" i="2" a="1"/>
  <c r="B26" i="2" a="1"/>
  <c r="B27" i="2" a="1"/>
  <c r="B21" i="2" a="1"/>
  <c r="B12" i="1" l="1"/>
  <c r="B55" i="1"/>
  <c r="B53" i="1"/>
  <c r="B54" i="1"/>
  <c r="B98" i="1"/>
  <c r="B101" i="1"/>
  <c r="B99" i="1"/>
  <c r="B56" i="1"/>
  <c r="B100" i="1"/>
  <c r="B7" i="3"/>
  <c r="B19" i="3" s="1"/>
  <c r="B21" i="2"/>
  <c r="B27" i="2"/>
  <c r="B26" i="2"/>
  <c r="B6" i="2"/>
  <c r="B10" i="2"/>
  <c r="B21" i="3" a="1"/>
  <c r="B8" i="2" a="1"/>
  <c r="B11" i="2" a="1"/>
  <c r="B64" i="1" l="1"/>
  <c r="C64" i="1"/>
  <c r="B21" i="1"/>
  <c r="C21" i="1"/>
  <c r="B21" i="3"/>
  <c r="B11" i="2"/>
  <c r="B8" i="2"/>
  <c r="B76" i="1" a="1"/>
  <c r="C76" i="1" a="1"/>
  <c r="C31" i="1" a="1"/>
  <c r="B31" i="1" a="1"/>
  <c r="B25" i="3" a="1"/>
  <c r="B23" i="3" a="1"/>
  <c r="B13" i="2" a="1"/>
  <c r="B22" i="2" a="1"/>
  <c r="B14" i="2" a="1"/>
  <c r="B31" i="1" l="1"/>
  <c r="C31" i="1"/>
  <c r="C76" i="1"/>
  <c r="B76" i="1"/>
  <c r="B23" i="3"/>
  <c r="B25" i="3"/>
  <c r="B14" i="2"/>
  <c r="B22" i="2"/>
  <c r="B13" i="2"/>
  <c r="B36" i="1" a="1"/>
  <c r="B42" i="1" a="1"/>
  <c r="B46" i="1" a="1"/>
  <c r="C53" i="1" a="1"/>
  <c r="C55" i="1" a="1"/>
  <c r="B49" i="1" a="1"/>
  <c r="B94" i="1" a="1"/>
  <c r="B33" i="1" a="1"/>
  <c r="B37" i="1" a="1"/>
  <c r="B43" i="1" a="1"/>
  <c r="B34" i="1" a="1"/>
  <c r="B38" i="1" a="1"/>
  <c r="B40" i="1" a="1"/>
  <c r="B44" i="1" a="1"/>
  <c r="B50" i="1" a="1"/>
  <c r="C54" i="1" a="1"/>
  <c r="C56" i="1" a="1"/>
  <c r="B95" i="1" a="1"/>
  <c r="B35" i="1" a="1"/>
  <c r="B39" i="1" a="1"/>
  <c r="B41" i="1" a="1"/>
  <c r="B45" i="1" a="1"/>
  <c r="B80" i="1" a="1"/>
  <c r="B86" i="1" a="1"/>
  <c r="B81" i="1" a="1"/>
  <c r="B87" i="1" a="1"/>
  <c r="B91" i="1" a="1"/>
  <c r="C98" i="1" a="1"/>
  <c r="C100" i="1" a="1"/>
  <c r="B78" i="1" a="1"/>
  <c r="B82" i="1" a="1"/>
  <c r="B88" i="1" a="1"/>
  <c r="B84" i="1" a="1"/>
  <c r="B90" i="1" a="1"/>
  <c r="B79" i="1" a="1"/>
  <c r="B83" i="1" a="1"/>
  <c r="B85" i="1" a="1"/>
  <c r="B89" i="1" a="1"/>
  <c r="C99" i="1" a="1"/>
  <c r="C101" i="1" a="1"/>
  <c r="B30" i="2" a="1"/>
  <c r="B29" i="2" a="1"/>
  <c r="C101" i="1" l="1"/>
  <c r="C99" i="1"/>
  <c r="B89" i="1"/>
  <c r="B85" i="1"/>
  <c r="B83" i="1"/>
  <c r="B79" i="1"/>
  <c r="B90" i="1"/>
  <c r="P84" i="1"/>
  <c r="H84" i="1"/>
  <c r="O84" i="1"/>
  <c r="G84" i="1"/>
  <c r="V84" i="1"/>
  <c r="N84" i="1"/>
  <c r="F84" i="1"/>
  <c r="Q84" i="1"/>
  <c r="I84" i="1"/>
  <c r="U84" i="1"/>
  <c r="M84" i="1"/>
  <c r="E84" i="1"/>
  <c r="T84" i="1"/>
  <c r="L84" i="1"/>
  <c r="D84" i="1"/>
  <c r="S84" i="1"/>
  <c r="K84" i="1"/>
  <c r="C84" i="1"/>
  <c r="R84" i="1"/>
  <c r="J84" i="1"/>
  <c r="B84" i="1"/>
  <c r="B88" i="1"/>
  <c r="B82" i="1"/>
  <c r="B78" i="1"/>
  <c r="C100" i="1"/>
  <c r="C98" i="1"/>
  <c r="B91" i="1"/>
  <c r="B87" i="1"/>
  <c r="B81" i="1"/>
  <c r="B86" i="1"/>
  <c r="B80" i="1"/>
  <c r="B45" i="1"/>
  <c r="B41" i="1"/>
  <c r="Q39" i="1"/>
  <c r="I39" i="1"/>
  <c r="P39" i="1"/>
  <c r="H39" i="1"/>
  <c r="O39" i="1"/>
  <c r="G39" i="1"/>
  <c r="U39" i="1"/>
  <c r="M39" i="1"/>
  <c r="E39" i="1"/>
  <c r="V39" i="1"/>
  <c r="N39" i="1"/>
  <c r="F39" i="1"/>
  <c r="J39" i="1"/>
  <c r="T39" i="1"/>
  <c r="L39" i="1"/>
  <c r="D39" i="1"/>
  <c r="R39" i="1"/>
  <c r="B39" i="1"/>
  <c r="S39" i="1"/>
  <c r="K39" i="1"/>
  <c r="C39" i="1"/>
  <c r="B35" i="1"/>
  <c r="B95" i="1"/>
  <c r="C56" i="1"/>
  <c r="C54" i="1"/>
  <c r="B50" i="1"/>
  <c r="B44" i="1"/>
  <c r="B40" i="1"/>
  <c r="B38" i="1"/>
  <c r="B34" i="1"/>
  <c r="B43" i="1"/>
  <c r="B37" i="1"/>
  <c r="B33" i="1"/>
  <c r="B94" i="1"/>
  <c r="B49" i="1"/>
  <c r="C55" i="1"/>
  <c r="C53" i="1"/>
  <c r="B46" i="1"/>
  <c r="B42" i="1"/>
  <c r="B36" i="1"/>
  <c r="B29" i="2"/>
  <c r="B30" i="2"/>
  <c r="B110" i="1" a="1"/>
  <c r="B106" i="1" a="1"/>
  <c r="B107" i="1" a="1"/>
  <c r="B109" i="1" a="1"/>
  <c r="B105" i="1" a="1"/>
  <c r="B108" i="1" a="1"/>
  <c r="B104" i="1" a="1"/>
  <c r="B103" i="1" a="1"/>
  <c r="B103" i="1" l="1"/>
  <c r="B104" i="1"/>
  <c r="B108" i="1"/>
  <c r="B105" i="1"/>
  <c r="B109" i="1"/>
  <c r="B107" i="1"/>
  <c r="B106" i="1"/>
  <c r="B110" i="1"/>
</calcChain>
</file>

<file path=xl/sharedStrings.xml><?xml version="1.0" encoding="utf-8"?>
<sst xmlns="http://schemas.openxmlformats.org/spreadsheetml/2006/main" count="184" uniqueCount="110">
  <si>
    <t>Evaluation date</t>
  </si>
  <si>
    <t>Set evaluation date</t>
  </si>
  <si>
    <t>qlFaceValueClaim</t>
  </si>
  <si>
    <t>qlFlatForward</t>
  </si>
  <si>
    <t>qlCreditDefaultSwap</t>
  </si>
  <si>
    <t>protection_side</t>
  </si>
  <si>
    <t>The side of the protection (BUY/SELL).</t>
  </si>
  <si>
    <t>notional</t>
  </si>
  <si>
    <t>The notional amount of the claim.</t>
  </si>
  <si>
    <t>spread</t>
  </si>
  <si>
    <t>The spread of the CDS.</t>
  </si>
  <si>
    <t>schedule</t>
  </si>
  <si>
    <t>The payment schedule of the CDS.</t>
  </si>
  <si>
    <t>payment_convention</t>
  </si>
  <si>
    <t>The payment convention for the CDS.</t>
  </si>
  <si>
    <t>day_counter</t>
  </si>
  <si>
    <t>The day counter for the CDS.</t>
  </si>
  <si>
    <t>settles_accrual</t>
  </si>
  <si>
    <t>Whether the CDS settles accrued interest.</t>
  </si>
  <si>
    <t>pays_at_default</t>
  </si>
  <si>
    <t>Whether the CDS pays at default.</t>
  </si>
  <si>
    <t>protection_start_date</t>
  </si>
  <si>
    <t>The start date of the CDS.</t>
  </si>
  <si>
    <t>claim</t>
  </si>
  <si>
    <t>The claim object to use.</t>
  </si>
  <si>
    <t>last_period_day_counter</t>
  </si>
  <si>
    <t>The day counter for the last period of the CDS.</t>
  </si>
  <si>
    <t>rebates_accrual</t>
  </si>
  <si>
    <t>Whether the CDS accrues rebates.</t>
  </si>
  <si>
    <t>trade_date</t>
  </si>
  <si>
    <t>The trade date of the CDS.</t>
  </si>
  <si>
    <t>Buy</t>
  </si>
  <si>
    <t>Tenor</t>
  </si>
  <si>
    <t>5y</t>
  </si>
  <si>
    <t>Date gen. Rule</t>
  </si>
  <si>
    <t>Maturity date</t>
  </si>
  <si>
    <t>CDS</t>
  </si>
  <si>
    <t>StartDate</t>
  </si>
  <si>
    <t>Following</t>
  </si>
  <si>
    <t>qlMakeSchedule</t>
  </si>
  <si>
    <t>Actual/360</t>
  </si>
  <si>
    <t>upfront</t>
  </si>
  <si>
    <t>qlCreditdefaultswapSide</t>
  </si>
  <si>
    <t>qlCreditDefaultSwapNotional</t>
  </si>
  <si>
    <t>qlCreditDefaultSwapRunningSpread</t>
  </si>
  <si>
    <t>qlCreditDefaultSwapUpfront</t>
  </si>
  <si>
    <t>qlCreditdefaultSwapSettlesAccrual</t>
  </si>
  <si>
    <t>qlCreditdefaultswapPaysAtDefaultTime</t>
  </si>
  <si>
    <t>qlCreditDefaultSwapCoupons</t>
  </si>
  <si>
    <t>qlCreditDefaultSwapProtectionStartDate</t>
  </si>
  <si>
    <t>qlCreditDefaultSwapProtectionEndDate</t>
  </si>
  <si>
    <t>qlCreditDefaultSwapRebatesAccrual</t>
  </si>
  <si>
    <t>qlCreditDefaultswapUpfrontPayment</t>
  </si>
  <si>
    <t>qlCreditDefaultSwapAccrualRebate</t>
  </si>
  <si>
    <t>qlCreditDefaultSwapTradeDate</t>
  </si>
  <si>
    <t>qlCreditDefaultSwapCashSettlementDays</t>
  </si>
  <si>
    <t>qlCreditDefaultSwapFairUpfront</t>
  </si>
  <si>
    <t>qlCreditDefaultSwapImpliedHazardRate</t>
  </si>
  <si>
    <t>Recovery rate</t>
  </si>
  <si>
    <t>qlFlatHazardRate</t>
  </si>
  <si>
    <t>qlCreditDefaultSwapConventionalSpread</t>
  </si>
  <si>
    <t>qlMidPointCdsEngine</t>
  </si>
  <si>
    <t>qlIntegralCdsEngine</t>
  </si>
  <si>
    <t>qlIsdaCdsEngine</t>
  </si>
  <si>
    <t>qlInstrumentNPV</t>
  </si>
  <si>
    <t>qlCreditDefaultSwapWithUpfront</t>
  </si>
  <si>
    <t>upfront_date</t>
  </si>
  <si>
    <t>cash_settlement_days</t>
  </si>
  <si>
    <t>qlCreditDefaultSwapFairSpread</t>
  </si>
  <si>
    <t>qlCreditDefaultSwapCouponLegBPS</t>
  </si>
  <si>
    <t>qlCreditDefaultSwapUpfrontBPS</t>
  </si>
  <si>
    <t>qlCreditDefaultSwapCouponLegNPV</t>
  </si>
  <si>
    <t>qlCreditDefaultSwapDefaultLegNPV</t>
  </si>
  <si>
    <t>qlCreditDefaultSwapUpfrontNPV</t>
  </si>
  <si>
    <t>qlCreditDefaultSwapAccrualRebateNPV</t>
  </si>
  <si>
    <t>Start Date</t>
  </si>
  <si>
    <t>End Date</t>
  </si>
  <si>
    <t>Exercise date</t>
  </si>
  <si>
    <t>qlEuropeanExercise</t>
  </si>
  <si>
    <t>qlCdsOption</t>
  </si>
  <si>
    <t>Volatility</t>
  </si>
  <si>
    <t>qlBlackCdsOptionEngine</t>
  </si>
  <si>
    <t>NPV</t>
  </si>
  <si>
    <t>maturity</t>
  </si>
  <si>
    <t>The maturity of the CDS (as a qDate or qPeriod).</t>
  </si>
  <si>
    <t>running_spread</t>
  </si>
  <si>
    <t>The running spread of the CDS.</t>
  </si>
  <si>
    <t>upfront_rate</t>
  </si>
  <si>
    <t>The upfront rate of the CDS (optional).</t>
  </si>
  <si>
    <t>side</t>
  </si>
  <si>
    <t>The protection side of the CDS (BUY/SELL) (optional).</t>
  </si>
  <si>
    <t>The notional amount of the CDS (optional).</t>
  </si>
  <si>
    <t>coupon_tenor</t>
  </si>
  <si>
    <t>The coupon tenor of the CDS (as a qPeriod) (optional).</t>
  </si>
  <si>
    <t>The day counter of the CDS (optional).</t>
  </si>
  <si>
    <t>The day counter for the last period of the CDS (optional).</t>
  </si>
  <si>
    <t>date_generation_rule</t>
  </si>
  <si>
    <t>The date generation rule for the CDS (optional).</t>
  </si>
  <si>
    <t>The number of cash settlement days for the CDS (optional).</t>
  </si>
  <si>
    <t>pricing_engine</t>
  </si>
  <si>
    <t>The pricing engine to use for the CDS (optional).</t>
  </si>
  <si>
    <t>The trade date of the CDS (as a qDate) (optional).</t>
  </si>
  <si>
    <t>5Y</t>
  </si>
  <si>
    <t>3m</t>
  </si>
  <si>
    <t>Act/360</t>
  </si>
  <si>
    <t>qlMakeCreditDefaultSwap</t>
  </si>
  <si>
    <t>dateGenerationRule argument is currently broken in SWIG</t>
  </si>
  <si>
    <t>nominal</t>
  </si>
  <si>
    <t>qlCreditDefaultSwap2</t>
  </si>
  <si>
    <t>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</si>
</sst>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D9BF-7D17-481B-B93D-02FD550C5515}">
  <dimension ref="A1:V110"/>
  <sheetViews>
    <sheetView tabSelected="1" workbookViewId="0">
      <selection activeCell="B7" sqref="B7"/>
    </sheetView>
  </sheetViews>
  <sheetFormatPr baseColWidth="10" defaultColWidth="9" defaultRowHeight="14.25"/>
  <cols>
    <col min="1" max="1" width="36.5" bestFit="1" customWidth="1"/>
    <col min="2" max="2" width="22.375" style="1" customWidth="1"/>
    <col min="3" max="3" width="28.625" style="1" customWidth="1"/>
  </cols>
  <sheetData>
    <row r="1" spans="1:2">
      <c r="A1" t="s">
        <v>0</v>
      </c>
      <c r="B1" s="3">
        <v>46174</v>
      </c>
    </row>
    <row r="2" spans="1:2">
      <c r="A2" t="s">
        <v>1</v>
      </c>
      <c r="B2" s="3">
        <f t="array" ref="B2">_xll.qlSettingsSetEvaluationDate(B1)</f>
        <v>46174</v>
      </c>
    </row>
    <row r="3" spans="1:2">
      <c r="B3" s="3"/>
    </row>
    <row r="4" spans="1:2">
      <c r="A4" t="s">
        <v>3</v>
      </c>
      <c r="B4" s="3" t="str">
        <f>_xll.qlFlatForward(B2,0.03,"actual365fixed")</f>
        <v>欣[test_creditdefaultswap.xlsx]qlCreditdefaultswap!R4C2YieldTermStructureHandle,A</v>
      </c>
    </row>
    <row r="6" spans="1:2">
      <c r="A6" t="s">
        <v>2</v>
      </c>
      <c r="B6" s="1" t="str">
        <f>_xll.qlFaceValueClaim()</f>
        <v>欣[test_creditdefaultswap.xlsx]qlCreditdefaultswap!R6C2FaceValueClaim,A</v>
      </c>
    </row>
    <row r="8" spans="1:2">
      <c r="A8" t="s">
        <v>32</v>
      </c>
      <c r="B8" s="1" t="s">
        <v>33</v>
      </c>
    </row>
    <row r="9" spans="1:2">
      <c r="A9" t="s">
        <v>34</v>
      </c>
      <c r="B9" s="1" t="s">
        <v>36</v>
      </c>
    </row>
    <row r="10" spans="1:2">
      <c r="A10" t="s">
        <v>35</v>
      </c>
      <c r="B10" s="3">
        <f t="array" ref="B10">_xll.qlCdsMaturity(B2,B8,B9)</f>
        <v>48019</v>
      </c>
    </row>
    <row r="11" spans="1:2">
      <c r="A11" t="s">
        <v>37</v>
      </c>
      <c r="B11" s="3">
        <v>46101</v>
      </c>
    </row>
    <row r="12" spans="1:2">
      <c r="A12" t="s">
        <v>39</v>
      </c>
      <c r="B12" s="1" t="str">
        <f t="array" ref="B12">_xll.qlMakeSchedule(B11,B10,"3m",,"Ldn","following")</f>
        <v>欣[test_creditdefaultswap.xlsx]qlCreditdefaultswap!R12C2Schedule,A</v>
      </c>
    </row>
    <row r="14" spans="1:2">
      <c r="A14" t="s">
        <v>58</v>
      </c>
      <c r="B14" s="1">
        <v>0.4</v>
      </c>
    </row>
    <row r="15" spans="1:2">
      <c r="A15" t="s">
        <v>59</v>
      </c>
      <c r="B15" s="1" t="str">
        <f t="array" ref="B15">_xll.qlFlatHazardRate(B2,0.03,"Act/365")</f>
        <v>欣[test_creditdefaultswap.xlsx]qlCreditdefaultswap!R15C2DefaultProbabilityTermStructureHandle,A</v>
      </c>
    </row>
    <row r="17" spans="1:8" ht="15">
      <c r="B17" s="5" t="s">
        <v>4</v>
      </c>
    </row>
    <row r="18" spans="1:8">
      <c r="A18" t="s">
        <v>5</v>
      </c>
      <c r="B18" s="1" t="s">
        <v>31</v>
      </c>
      <c r="C18" s="1" t="s">
        <v>31</v>
      </c>
      <c r="H18" t="s">
        <v>6</v>
      </c>
    </row>
    <row r="19" spans="1:8">
      <c r="A19" t="s">
        <v>7</v>
      </c>
      <c r="B19" s="1">
        <v>10000</v>
      </c>
      <c r="C19" s="1">
        <v>10000</v>
      </c>
      <c r="H19" t="s">
        <v>8</v>
      </c>
    </row>
    <row r="20" spans="1:8">
      <c r="A20" t="s">
        <v>9</v>
      </c>
      <c r="B20" s="1">
        <v>0.03</v>
      </c>
      <c r="C20" s="1">
        <v>0.03</v>
      </c>
      <c r="H20" t="s">
        <v>10</v>
      </c>
    </row>
    <row r="21" spans="1:8">
      <c r="A21" t="s">
        <v>11</v>
      </c>
      <c r="B21" s="1" t="str">
        <f>$B$12</f>
        <v>欣[test_creditdefaultswap.xlsx]qlCreditdefaultswap!R12C2Schedule,A</v>
      </c>
      <c r="C21" s="1" t="str">
        <f>$B$12</f>
        <v>欣[test_creditdefaultswap.xlsx]qlCreditdefaultswap!R12C2Schedule,A</v>
      </c>
      <c r="H21" t="s">
        <v>12</v>
      </c>
    </row>
    <row r="22" spans="1:8">
      <c r="A22" t="s">
        <v>13</v>
      </c>
      <c r="B22" s="1" t="s">
        <v>38</v>
      </c>
      <c r="C22" s="1" t="s">
        <v>38</v>
      </c>
      <c r="H22" t="s">
        <v>14</v>
      </c>
    </row>
    <row r="23" spans="1:8">
      <c r="A23" t="s">
        <v>15</v>
      </c>
      <c r="B23" s="1" t="s">
        <v>40</v>
      </c>
      <c r="C23" s="1" t="s">
        <v>40</v>
      </c>
      <c r="H23" t="s">
        <v>16</v>
      </c>
    </row>
    <row r="24" spans="1:8">
      <c r="A24" t="s">
        <v>17</v>
      </c>
      <c r="B24" s="1" t="b">
        <v>1</v>
      </c>
      <c r="C24" s="1" t="b">
        <v>1</v>
      </c>
      <c r="H24" t="s">
        <v>18</v>
      </c>
    </row>
    <row r="25" spans="1:8">
      <c r="A25" t="s">
        <v>19</v>
      </c>
      <c r="B25" s="1" t="b">
        <v>1</v>
      </c>
      <c r="C25" s="1" t="b">
        <v>1</v>
      </c>
      <c r="H25" t="s">
        <v>20</v>
      </c>
    </row>
    <row r="26" spans="1:8">
      <c r="A26" t="s">
        <v>21</v>
      </c>
      <c r="B26" s="3">
        <f>B11</f>
        <v>46101</v>
      </c>
      <c r="C26" s="3">
        <f>B11</f>
        <v>46101</v>
      </c>
      <c r="H26" t="s">
        <v>22</v>
      </c>
    </row>
    <row r="27" spans="1:8">
      <c r="A27" t="s">
        <v>23</v>
      </c>
      <c r="B27" s="1" t="str">
        <f>B6</f>
        <v>欣[test_creditdefaultswap.xlsx]qlCreditdefaultswap!R6C2FaceValueClaim,A</v>
      </c>
      <c r="C27" s="1" t="str">
        <f>B6</f>
        <v>欣[test_creditdefaultswap.xlsx]qlCreditdefaultswap!R6C2FaceValueClaim,A</v>
      </c>
      <c r="H27" t="s">
        <v>24</v>
      </c>
    </row>
    <row r="28" spans="1:8">
      <c r="A28" t="s">
        <v>25</v>
      </c>
      <c r="B28" s="1" t="s">
        <v>40</v>
      </c>
      <c r="C28" s="1" t="s">
        <v>40</v>
      </c>
      <c r="H28" t="s">
        <v>26</v>
      </c>
    </row>
    <row r="29" spans="1:8">
      <c r="A29" t="s">
        <v>27</v>
      </c>
      <c r="B29" s="1" t="b">
        <v>1</v>
      </c>
      <c r="H29" t="s">
        <v>28</v>
      </c>
    </row>
    <row r="30" spans="1:8">
      <c r="A30" t="s">
        <v>29</v>
      </c>
      <c r="B30" s="3">
        <f>B11</f>
        <v>46101</v>
      </c>
      <c r="H30" t="s">
        <v>30</v>
      </c>
    </row>
    <row r="31" spans="1:8" ht="15">
      <c r="A31" s="4" t="s">
        <v>4</v>
      </c>
      <c r="B31" s="1" t="str">
        <f t="array" ref="B31">_xll.qlCreditDefaultSwap(B18,B19,B20,B21,B22,B23,B24,B25,B26,B27,B28,B29,B30)</f>
        <v>欣[test_creditdefaultswap.xlsx]qlCreditdefaultswap!R31C2CreditDefaultSwap,A</v>
      </c>
      <c r="C31" s="1" t="str">
        <f t="array" ref="C31">_xll.qlCreditDefaultSwap(C18,C19,C20,C21,C22,C23,C24,C25,C26,C27,C28)</f>
        <v>欣[test_creditdefaultswap.xlsx]qlCreditdefaultswap!R31C3CreditDefaultSwap,A</v>
      </c>
    </row>
    <row r="33" spans="1:22">
      <c r="A33" t="s">
        <v>42</v>
      </c>
      <c r="B33" s="1" t="str">
        <f t="array" ref="B33">_xll.qlCreditdefaultswapSide(B31)</f>
        <v>BUY</v>
      </c>
    </row>
    <row r="34" spans="1:22">
      <c r="A34" t="s">
        <v>43</v>
      </c>
      <c r="B34" s="1">
        <f t="array" ref="B34">_xll.qlCreditDefaultSwapNotional(B31)</f>
        <v>10000</v>
      </c>
    </row>
    <row r="35" spans="1:22">
      <c r="A35" t="s">
        <v>44</v>
      </c>
      <c r="B35" s="1">
        <f t="array" ref="B35">_xll.qlCreditDefaultSwapRunningSpread(B31)</f>
        <v>0.03</v>
      </c>
    </row>
    <row r="36" spans="1:22">
      <c r="A36" t="s">
        <v>45</v>
      </c>
      <c r="B36" s="1" t="str">
        <f t="array" ref="B36">_xll.qlCreditDefaultSwapUpfront(B31)</f>
        <v>Expected python float, got 'None'</v>
      </c>
    </row>
    <row r="37" spans="1:22">
      <c r="A37" t="s">
        <v>46</v>
      </c>
      <c r="B37" s="1" t="b">
        <f t="array" ref="B37">_xll.qlCreditdefaultSwapSettlesAccrual(B31)</f>
        <v>1</v>
      </c>
    </row>
    <row r="38" spans="1:22">
      <c r="A38" t="s">
        <v>47</v>
      </c>
      <c r="B38" s="1" t="b">
        <f t="array" ref="B38">_xll.qlCreditdefaultswapPaysAtDefaultTime(B31)</f>
        <v>1</v>
      </c>
    </row>
    <row r="39" spans="1:22">
      <c r="A39" t="s">
        <v>48</v>
      </c>
      <c r="B39" s="1" t="str">
        <f t="array" ref="B39:V39">TRANSPOSE(_xll.qlCreditDefaultSwapCoupons(B31))</f>
        <v>欣[test_creditdefaultswap.xlsx]qlCreditdefaultswap!R39C2:R39C22CashFlow,A</v>
      </c>
      <c r="C39" s="1" t="str">
        <v>欣[test_creditdefaultswap.xlsx]qlCreditdefaultswap!R39C2:R39C22CashFlow,B</v>
      </c>
      <c r="D39" t="str">
        <v>欣[test_creditdefaultswap.xlsx]qlCreditdefaultswap!R39C2:R39C22CashFlow,C</v>
      </c>
      <c r="E39" t="str">
        <v>欣[test_creditdefaultswap.xlsx]qlCreditdefaultswap!R39C2:R39C22CashFlow,D</v>
      </c>
      <c r="F39" t="str">
        <v>欣[test_creditdefaultswap.xlsx]qlCreditdefaultswap!R39C2:R39C22CashFlow,E</v>
      </c>
      <c r="G39" t="str">
        <v>欣[test_creditdefaultswap.xlsx]qlCreditdefaultswap!R39C2:R39C22CashFlow,F</v>
      </c>
      <c r="H39" t="str">
        <v>欣[test_creditdefaultswap.xlsx]qlCreditdefaultswap!R39C2:R39C22CashFlow,G</v>
      </c>
      <c r="I39" t="str">
        <v>欣[test_creditdefaultswap.xlsx]qlCreditdefaultswap!R39C2:R39C22CashFlow,H</v>
      </c>
      <c r="J39" t="str">
        <v>欣[test_creditdefaultswap.xlsx]qlCreditdefaultswap!R39C2:R39C22CashFlow,I</v>
      </c>
      <c r="K39" t="str">
        <v>欣[test_creditdefaultswap.xlsx]qlCreditdefaultswap!R39C2:R39C22CashFlow,J</v>
      </c>
      <c r="L39" t="str">
        <v>欣[test_creditdefaultswap.xlsx]qlCreditdefaultswap!R39C2:R39C22CashFlow,K</v>
      </c>
      <c r="M39" t="str">
        <v>欣[test_creditdefaultswap.xlsx]qlCreditdefaultswap!R39C2:R39C22CashFlow,L</v>
      </c>
      <c r="N39" t="str">
        <v>欣[test_creditdefaultswap.xlsx]qlCreditdefaultswap!R39C2:R39C22CashFlow,M</v>
      </c>
      <c r="O39" t="str">
        <v>欣[test_creditdefaultswap.xlsx]qlCreditdefaultswap!R39C2:R39C22CashFlow,N</v>
      </c>
      <c r="P39" t="str">
        <v>欣[test_creditdefaultswap.xlsx]qlCreditdefaultswap!R39C2:R39C22CashFlow,O</v>
      </c>
      <c r="Q39" t="str">
        <v>欣[test_creditdefaultswap.xlsx]qlCreditdefaultswap!R39C2:R39C22CashFlow,P</v>
      </c>
      <c r="R39" t="str">
        <v>欣[test_creditdefaultswap.xlsx]qlCreditdefaultswap!R39C2:R39C22CashFlow,Q</v>
      </c>
      <c r="S39" t="str">
        <v>欣[test_creditdefaultswap.xlsx]qlCreditdefaultswap!R39C2:R39C22CashFlow,R</v>
      </c>
      <c r="T39" t="str">
        <v>欣[test_creditdefaultswap.xlsx]qlCreditdefaultswap!R39C2:R39C22CashFlow,S</v>
      </c>
      <c r="U39" t="str">
        <v>欣[test_creditdefaultswap.xlsx]qlCreditdefaultswap!R39C2:R39C22CashFlow,T</v>
      </c>
      <c r="V39" t="str">
        <v>欣[test_creditdefaultswap.xlsx]qlCreditdefaultswap!R39C2:R39C22CashFlow,U</v>
      </c>
    </row>
    <row r="40" spans="1:22">
      <c r="A40" t="s">
        <v>49</v>
      </c>
      <c r="B40" s="3">
        <f t="array" ref="B40">_xll.qlCreditDefaultSwapProtectionStartDate(B31)</f>
        <v>46101</v>
      </c>
    </row>
    <row r="41" spans="1:22">
      <c r="A41" t="s">
        <v>50</v>
      </c>
      <c r="B41" s="3">
        <f t="array" ref="B41">_xll.qlCreditDefaultSwapProtectionEndDate(B31)</f>
        <v>48019</v>
      </c>
    </row>
    <row r="42" spans="1:22">
      <c r="A42" t="s">
        <v>51</v>
      </c>
      <c r="B42" s="1" t="b">
        <f t="array" ref="B42">_xll.qlCreditDefaultSwapRebatesAccrual(B31)</f>
        <v>1</v>
      </c>
    </row>
    <row r="43" spans="1:22">
      <c r="A43" t="s">
        <v>52</v>
      </c>
      <c r="B43" s="1" t="str">
        <f t="array" ref="B43">_xll.qlCreditDefaultswapUpfrontPayment(B31)</f>
        <v>欣[test_creditdefaultswap.xlsx]qlCreditdefaultswap!R43C2CashFlow,A</v>
      </c>
      <c r="C43" s="3"/>
    </row>
    <row r="44" spans="1:22">
      <c r="A44" t="s">
        <v>53</v>
      </c>
      <c r="B44" s="1" t="str">
        <f t="array" ref="B44">_xll.qlCreditDefaultSwapAccrualRebate(B31)</f>
        <v>欣[test_creditdefaultswap.xlsx]qlCreditdefaultswap!R44C2CashFlow,A</v>
      </c>
    </row>
    <row r="45" spans="1:22">
      <c r="A45" t="s">
        <v>54</v>
      </c>
      <c r="B45" s="3">
        <f t="array" ref="B45">_xll.qlCreditDefaultSwapTradeDate(B31)</f>
        <v>46101</v>
      </c>
    </row>
    <row r="46" spans="1:22">
      <c r="A46" t="s">
        <v>55</v>
      </c>
      <c r="B46" s="1">
        <f t="array" ref="B46">_xll.qlCreditDefaultSwapCashSettlementDays(B31)</f>
        <v>3</v>
      </c>
    </row>
    <row r="47" spans="1:22">
      <c r="B47" s="2"/>
    </row>
    <row r="49" spans="1:3">
      <c r="A49" t="s">
        <v>57</v>
      </c>
      <c r="B49" s="1">
        <f t="array" ref="B49">_xll.qlCreditDefaultSwapImpliedHazardRate(B31,0,B4,"Act/365",B14)</f>
        <v>5.2957081659976007E-2</v>
      </c>
    </row>
    <row r="50" spans="1:3">
      <c r="A50" t="s">
        <v>60</v>
      </c>
      <c r="B50" s="6">
        <f t="array" ref="B50">_xll.qlCreditDefaultSwapConventionalSpread(B31,B14,B4,"Act/365","ISDA")</f>
        <v>2.9999999996653062E-2</v>
      </c>
    </row>
    <row r="51" spans="1:3">
      <c r="B51" s="6"/>
    </row>
    <row r="52" spans="1:3">
      <c r="C52" s="1" t="s">
        <v>64</v>
      </c>
    </row>
    <row r="53" spans="1:3">
      <c r="A53" t="s">
        <v>61</v>
      </c>
      <c r="B53" s="1" t="str">
        <f t="array" ref="B53">_xll.qlMidPointCdsEngine($B$15,$B$14,$B$4)</f>
        <v>欣[test_creditdefaultswap.xlsx]qlCreditdefaultswap!R53C2MidPointCdsEngine,A</v>
      </c>
      <c r="C53" s="1">
        <f t="array" ref="C53">_xll.qlInstrumentNPV($B$31,_xll.qlInstrumentSetPricingEngine($B$31,B53))</f>
        <v>-597.18654960901893</v>
      </c>
    </row>
    <row r="54" spans="1:3">
      <c r="A54" t="s">
        <v>62</v>
      </c>
      <c r="B54" s="1" t="str">
        <f t="array" ref="B54">_xll.qlIntegralCdsEngine("1m",$B$15,$B$14,$B$4,FALSE)</f>
        <v>欣[test_creditdefaultswap.xlsx]qlCreditdefaultswap!R54C2IntegralCdsEngine,A</v>
      </c>
      <c r="C54" s="1">
        <f t="array" ref="C54">_xll.qlInstrumentNPV($B$31,_xll.qlInstrumentSetPricingEngine($B$31,B54))</f>
        <v>-599.8333220606329</v>
      </c>
    </row>
    <row r="55" spans="1:3">
      <c r="A55" t="s">
        <v>63</v>
      </c>
      <c r="B55" s="1" t="str">
        <f t="array" ref="B55">_xll.qlIsdaCdsEngine($B$15,$B$14,$B$4,FALSE,"Taylor","Half_Day_Bias","Piecewise")</f>
        <v>欣[test_creditdefaultswap.xlsx]qlCreditdefaultswap!R55C2IsdaCdsEngine,A</v>
      </c>
      <c r="C55" s="1">
        <f t="array" ref="C55">_xll.qlInstrumentNPV($B$31,_xll.qlInstrumentSetPricingEngine($B$31,B55))</f>
        <v>-597.3783443237852</v>
      </c>
    </row>
    <row r="56" spans="1:3">
      <c r="A56" t="s">
        <v>63</v>
      </c>
      <c r="B56" s="1" t="str">
        <f t="array" ref="B56">_xll.qlIsdaCdsEngine($B$15,$B$14,$B$4)</f>
        <v>欣[test_creditdefaultswap.xlsx]qlCreditdefaultswap!R56C2IsdaCdsEngine,A</v>
      </c>
      <c r="C56" s="1">
        <f t="array" ref="C56">_xll.qlInstrumentNPV($B$31,_xll.qlInstrumentSetPricingEngine($B$31,B56))</f>
        <v>-597.3783443237852</v>
      </c>
    </row>
    <row r="59" spans="1:3">
      <c r="B59" s="1" t="s">
        <v>65</v>
      </c>
    </row>
    <row r="60" spans="1:3">
      <c r="A60" t="s">
        <v>5</v>
      </c>
      <c r="B60" s="1" t="s">
        <v>31</v>
      </c>
      <c r="C60" s="1" t="s">
        <v>31</v>
      </c>
    </row>
    <row r="61" spans="1:3">
      <c r="A61" t="s">
        <v>7</v>
      </c>
      <c r="B61" s="1">
        <v>10000</v>
      </c>
      <c r="C61" s="1">
        <v>10000</v>
      </c>
    </row>
    <row r="62" spans="1:3">
      <c r="A62" t="s">
        <v>41</v>
      </c>
      <c r="B62" s="1">
        <v>500</v>
      </c>
      <c r="C62" s="1">
        <v>500</v>
      </c>
    </row>
    <row r="63" spans="1:3">
      <c r="A63" t="s">
        <v>9</v>
      </c>
      <c r="B63" s="1">
        <v>0.03</v>
      </c>
      <c r="C63" s="1">
        <v>0.03</v>
      </c>
    </row>
    <row r="64" spans="1:3">
      <c r="A64" t="s">
        <v>11</v>
      </c>
      <c r="B64" s="1" t="str">
        <f>$B$12</f>
        <v>欣[test_creditdefaultswap.xlsx]qlCreditdefaultswap!R12C2Schedule,A</v>
      </c>
      <c r="C64" s="1" t="str">
        <f>$B$12</f>
        <v>欣[test_creditdefaultswap.xlsx]qlCreditdefaultswap!R12C2Schedule,A</v>
      </c>
    </row>
    <row r="65" spans="1:3">
      <c r="A65" t="s">
        <v>13</v>
      </c>
      <c r="B65" s="1" t="s">
        <v>38</v>
      </c>
      <c r="C65" s="1" t="s">
        <v>38</v>
      </c>
    </row>
    <row r="66" spans="1:3">
      <c r="A66" t="s">
        <v>15</v>
      </c>
      <c r="B66" s="1" t="s">
        <v>40</v>
      </c>
      <c r="C66" s="1" t="s">
        <v>40</v>
      </c>
    </row>
    <row r="67" spans="1:3">
      <c r="A67" t="s">
        <v>17</v>
      </c>
      <c r="B67" s="1" t="b">
        <v>1</v>
      </c>
      <c r="C67" s="1" t="b">
        <v>1</v>
      </c>
    </row>
    <row r="68" spans="1:3">
      <c r="A68" t="s">
        <v>19</v>
      </c>
      <c r="B68" s="1" t="b">
        <v>1</v>
      </c>
      <c r="C68" s="1" t="b">
        <v>1</v>
      </c>
    </row>
    <row r="69" spans="1:3">
      <c r="A69" t="s">
        <v>21</v>
      </c>
      <c r="B69" s="3">
        <f>B74</f>
        <v>46101</v>
      </c>
      <c r="C69" s="3">
        <f>B74</f>
        <v>46101</v>
      </c>
    </row>
    <row r="70" spans="1:3">
      <c r="A70" t="s">
        <v>66</v>
      </c>
      <c r="B70" s="3">
        <f>B2+1</f>
        <v>46175</v>
      </c>
      <c r="C70" s="3">
        <f>B2+1</f>
        <v>46175</v>
      </c>
    </row>
    <row r="71" spans="1:3">
      <c r="A71" t="s">
        <v>23</v>
      </c>
      <c r="B71" s="1" t="str">
        <f>B6</f>
        <v>欣[test_creditdefaultswap.xlsx]qlCreditdefaultswap!R6C2FaceValueClaim,A</v>
      </c>
      <c r="C71" s="1" t="str">
        <f>B6</f>
        <v>欣[test_creditdefaultswap.xlsx]qlCreditdefaultswap!R6C2FaceValueClaim,A</v>
      </c>
    </row>
    <row r="72" spans="1:3">
      <c r="A72" t="s">
        <v>25</v>
      </c>
      <c r="B72" s="1" t="s">
        <v>40</v>
      </c>
      <c r="C72" s="1" t="s">
        <v>40</v>
      </c>
    </row>
    <row r="73" spans="1:3">
      <c r="A73" t="s">
        <v>27</v>
      </c>
      <c r="B73" s="1" t="b">
        <v>1</v>
      </c>
    </row>
    <row r="74" spans="1:3">
      <c r="A74" t="s">
        <v>29</v>
      </c>
      <c r="B74" s="3">
        <f>B11</f>
        <v>46101</v>
      </c>
    </row>
    <row r="75" spans="1:3">
      <c r="A75" t="s">
        <v>67</v>
      </c>
      <c r="B75" s="1">
        <v>3</v>
      </c>
    </row>
    <row r="76" spans="1:3" ht="15">
      <c r="A76" s="4" t="s">
        <v>108</v>
      </c>
      <c r="B76" s="2" t="str">
        <f t="array" ref="B76">_xll.qlCreditDefaultSwap2(B60,B61,B62,B63,B64,B65,B66,B67,B68,B69,B70,B71,B72,B73,B74,B75)</f>
        <v>欣[test_creditdefaultswap.xlsx]qlCreditdefaultswap!R76C2CreditDefaultSwap,A</v>
      </c>
      <c r="C76" s="1" t="str">
        <f t="array" ref="C76">_xll.qlCreditDefaultSwap2(C60,C61,C62,C63,C64,C65,C66,C67,C68,C69,C70,C71,C72)</f>
        <v>欣[test_creditdefaultswap.xlsx]qlCreditdefaultswap!R76C3CreditDefaultSwap,A</v>
      </c>
    </row>
    <row r="78" spans="1:3">
      <c r="A78" t="s">
        <v>42</v>
      </c>
      <c r="B78" s="1" t="str">
        <f t="array" ref="B78">_xll.qlCreditdefaultswapSide(B76)</f>
        <v>BUY</v>
      </c>
    </row>
    <row r="79" spans="1:3">
      <c r="A79" t="s">
        <v>43</v>
      </c>
      <c r="B79" s="1">
        <f t="array" ref="B79">_xll.qlCreditDefaultSwapNotional(B76)</f>
        <v>10000</v>
      </c>
    </row>
    <row r="80" spans="1:3">
      <c r="A80" t="s">
        <v>44</v>
      </c>
      <c r="B80" s="1">
        <f t="array" ref="B80">_xll.qlCreditDefaultSwapRunningSpread(B76)</f>
        <v>0.03</v>
      </c>
    </row>
    <row r="81" spans="1:22">
      <c r="A81" t="s">
        <v>45</v>
      </c>
      <c r="B81" s="1">
        <f t="array" ref="B81">_xll.qlCreditDefaultSwapUpfront(B76)</f>
        <v>500</v>
      </c>
    </row>
    <row r="82" spans="1:22">
      <c r="A82" t="s">
        <v>46</v>
      </c>
      <c r="B82" s="1" t="b">
        <f t="array" ref="B82">_xll.qlCreditdefaultSwapSettlesAccrual(B76)</f>
        <v>1</v>
      </c>
    </row>
    <row r="83" spans="1:22">
      <c r="A83" t="s">
        <v>47</v>
      </c>
      <c r="B83" s="1" t="b">
        <f t="array" ref="B83">_xll.qlCreditdefaultswapPaysAtDefaultTime(B76)</f>
        <v>1</v>
      </c>
    </row>
    <row r="84" spans="1:22">
      <c r="A84" t="s">
        <v>48</v>
      </c>
      <c r="B84" s="1" t="str">
        <f t="array" ref="B84:V84">TRANSPOSE(_xll.qlCreditDefaultSwapCoupons(B76))</f>
        <v>欣[test_creditdefaultswap.xlsx]qlCreditdefaultswap!R84C2:R84C22CashFlow,A</v>
      </c>
      <c r="C84" s="1" t="str">
        <v>欣[test_creditdefaultswap.xlsx]qlCreditdefaultswap!R84C2:R84C22CashFlow,B</v>
      </c>
      <c r="D84" t="str">
        <v>欣[test_creditdefaultswap.xlsx]qlCreditdefaultswap!R84C2:R84C22CashFlow,C</v>
      </c>
      <c r="E84" t="str">
        <v>欣[test_creditdefaultswap.xlsx]qlCreditdefaultswap!R84C2:R84C22CashFlow,D</v>
      </c>
      <c r="F84" t="str">
        <v>欣[test_creditdefaultswap.xlsx]qlCreditdefaultswap!R84C2:R84C22CashFlow,E</v>
      </c>
      <c r="G84" t="str">
        <v>欣[test_creditdefaultswap.xlsx]qlCreditdefaultswap!R84C2:R84C22CashFlow,F</v>
      </c>
      <c r="H84" t="str">
        <v>欣[test_creditdefaultswap.xlsx]qlCreditdefaultswap!R84C2:R84C22CashFlow,G</v>
      </c>
      <c r="I84" t="str">
        <v>欣[test_creditdefaultswap.xlsx]qlCreditdefaultswap!R84C2:R84C22CashFlow,H</v>
      </c>
      <c r="J84" t="str">
        <v>欣[test_creditdefaultswap.xlsx]qlCreditdefaultswap!R84C2:R84C22CashFlow,I</v>
      </c>
      <c r="K84" t="str">
        <v>欣[test_creditdefaultswap.xlsx]qlCreditdefaultswap!R84C2:R84C22CashFlow,J</v>
      </c>
      <c r="L84" t="str">
        <v>欣[test_creditdefaultswap.xlsx]qlCreditdefaultswap!R84C2:R84C22CashFlow,K</v>
      </c>
      <c r="M84" t="str">
        <v>欣[test_creditdefaultswap.xlsx]qlCreditdefaultswap!R84C2:R84C22CashFlow,L</v>
      </c>
      <c r="N84" t="str">
        <v>欣[test_creditdefaultswap.xlsx]qlCreditdefaultswap!R84C2:R84C22CashFlow,M</v>
      </c>
      <c r="O84" t="str">
        <v>欣[test_creditdefaultswap.xlsx]qlCreditdefaultswap!R84C2:R84C22CashFlow,N</v>
      </c>
      <c r="P84" t="str">
        <v>欣[test_creditdefaultswap.xlsx]qlCreditdefaultswap!R84C2:R84C22CashFlow,O</v>
      </c>
      <c r="Q84" t="str">
        <v>欣[test_creditdefaultswap.xlsx]qlCreditdefaultswap!R84C2:R84C22CashFlow,P</v>
      </c>
      <c r="R84" t="str">
        <v>欣[test_creditdefaultswap.xlsx]qlCreditdefaultswap!R84C2:R84C22CashFlow,Q</v>
      </c>
      <c r="S84" t="str">
        <v>欣[test_creditdefaultswap.xlsx]qlCreditdefaultswap!R84C2:R84C22CashFlow,R</v>
      </c>
      <c r="T84" t="str">
        <v>欣[test_creditdefaultswap.xlsx]qlCreditdefaultswap!R84C2:R84C22CashFlow,S</v>
      </c>
      <c r="U84" t="str">
        <v>欣[test_creditdefaultswap.xlsx]qlCreditdefaultswap!R84C2:R84C22CashFlow,T</v>
      </c>
      <c r="V84" t="str">
        <v>欣[test_creditdefaultswap.xlsx]qlCreditdefaultswap!R84C2:R84C22CashFlow,U</v>
      </c>
    </row>
    <row r="85" spans="1:22">
      <c r="A85" t="s">
        <v>49</v>
      </c>
      <c r="B85" s="3">
        <f t="array" ref="B85">_xll.qlCreditDefaultSwapProtectionStartDate(B76)</f>
        <v>46101</v>
      </c>
    </row>
    <row r="86" spans="1:22">
      <c r="A86" t="s">
        <v>50</v>
      </c>
      <c r="B86" s="3">
        <f t="array" ref="B86">_xll.qlCreditDefaultSwapProtectionEndDate(B76)</f>
        <v>48019</v>
      </c>
    </row>
    <row r="87" spans="1:22">
      <c r="A87" t="s">
        <v>51</v>
      </c>
      <c r="B87" s="1" t="b">
        <f t="array" ref="B87">_xll.qlCreditDefaultSwapRebatesAccrual(B76)</f>
        <v>1</v>
      </c>
    </row>
    <row r="88" spans="1:22">
      <c r="A88" t="s">
        <v>52</v>
      </c>
      <c r="B88" s="1" t="str">
        <f t="array" ref="B88">_xll.qlCreditDefaultswapUpfrontPayment(B76)</f>
        <v>欣[test_creditdefaultswap.xlsx]qlCreditdefaultswap!R88C2CashFlow,A</v>
      </c>
    </row>
    <row r="89" spans="1:22">
      <c r="A89" t="s">
        <v>53</v>
      </c>
      <c r="B89" s="1" t="str">
        <f t="array" ref="B89">_xll.qlCreditDefaultSwapAccrualRebate(B76)</f>
        <v>欣[test_creditdefaultswap.xlsx]qlCreditdefaultswap!R89C2CashFlow,A</v>
      </c>
    </row>
    <row r="90" spans="1:22">
      <c r="A90" t="s">
        <v>54</v>
      </c>
      <c r="B90" s="3">
        <f t="array" ref="B90">_xll.qlCreditDefaultSwapTradeDate(B76)</f>
        <v>46101</v>
      </c>
    </row>
    <row r="91" spans="1:22">
      <c r="A91" t="s">
        <v>55</v>
      </c>
      <c r="B91" s="1">
        <f t="array" ref="B91">_xll.qlCreditDefaultSwapCashSettlementDays(B76)</f>
        <v>3</v>
      </c>
    </row>
    <row r="94" spans="1:22">
      <c r="A94" t="s">
        <v>57</v>
      </c>
      <c r="B94" s="1">
        <f t="array" ref="B94">_xll.qlCreditDefaultSwapImpliedHazardRate(B31,0,B4,"Act/365",B14)</f>
        <v>5.2957081659976007E-2</v>
      </c>
    </row>
    <row r="95" spans="1:22">
      <c r="A95" t="s">
        <v>60</v>
      </c>
      <c r="B95" s="6">
        <f t="array" ref="B95">_xll.qlCreditDefaultSwapConventionalSpread(B31,B14,B4,"Act/365","ISDA")</f>
        <v>2.9999999996653062E-2</v>
      </c>
    </row>
    <row r="96" spans="1:22">
      <c r="B96" s="6"/>
    </row>
    <row r="97" spans="1:3">
      <c r="C97" s="1" t="s">
        <v>64</v>
      </c>
    </row>
    <row r="98" spans="1:3">
      <c r="A98" t="s">
        <v>61</v>
      </c>
      <c r="B98" s="1" t="str">
        <f t="array" ref="B98">_xll.qlMidPointCdsEngine($B$15,$B$14,$B$4)</f>
        <v>欣[test_creditdefaultswap.xlsx]qlCreditdefaultswap!R98C2MidPointCdsEngine,A</v>
      </c>
      <c r="C98" s="1">
        <f t="array" ref="C98">_xll.qlInstrumentNPV($B$76,_xll.qlInstrumentSetPricingEngine($B$76,B98))</f>
        <v>-5000185.411268915</v>
      </c>
    </row>
    <row r="99" spans="1:3">
      <c r="A99" t="s">
        <v>62</v>
      </c>
      <c r="B99" s="1" t="str">
        <f t="array" ref="B99">_xll.qlIntegralCdsEngine("1m",$B$15,$B$14,$B$4,FALSE)</f>
        <v>欣[test_creditdefaultswap.xlsx]qlCreditdefaultswap!R99C2IntegralCdsEngine,A</v>
      </c>
      <c r="C99" s="1">
        <f t="array" ref="C99">_xll.qlInstrumentNPV($B$76,_xll.qlInstrumentSetPricingEngine($B$76,B99))</f>
        <v>-5000188.0580413667</v>
      </c>
    </row>
    <row r="100" spans="1:3">
      <c r="A100" t="s">
        <v>63</v>
      </c>
      <c r="B100" s="1" t="str">
        <f t="array" ref="B100">_xll.qlIsdaCdsEngine($B$15,$B$14,$B$4,FALSE,"Taylor","Half_Day_Bias","Piecewise")</f>
        <v>欣[test_creditdefaultswap.xlsx]qlCreditdefaultswap!R100C2IsdaCdsEngine,A</v>
      </c>
      <c r="C100" s="1">
        <f t="array" ref="C100">_xll.qlInstrumentNPV($B$76,_xll.qlInstrumentSetPricingEngine($B$76,B100))</f>
        <v>-5000185.6030636299</v>
      </c>
    </row>
    <row r="101" spans="1:3">
      <c r="A101" t="s">
        <v>63</v>
      </c>
      <c r="B101" s="1" t="str">
        <f t="array" ref="B101">_xll.qlIsdaCdsEngine($B$15,$B$14,$B$4)</f>
        <v>欣[test_creditdefaultswap.xlsx]qlCreditdefaultswap!R101C2IsdaCdsEngine,A</v>
      </c>
      <c r="C101" s="1">
        <f t="array" ref="C101">_xll.qlInstrumentNPV($B$76,_xll.qlInstrumentSetPricingEngine($B$76,B101))</f>
        <v>-5000185.6030636299</v>
      </c>
    </row>
    <row r="103" spans="1:3">
      <c r="A103" t="s">
        <v>56</v>
      </c>
      <c r="B103" s="1">
        <f t="array" ref="B103">_xll.qlCreditDefaultSwapFairUpfront(B76,C98)</f>
        <v>-5.9659411259824192E-2</v>
      </c>
    </row>
    <row r="104" spans="1:3">
      <c r="A104" t="s">
        <v>68</v>
      </c>
      <c r="B104" s="1">
        <f t="array" ref="B104">_xll.qlCreditDefaultSwapFairSpread(B76,C98)</f>
        <v>1.7044632139517249E-2</v>
      </c>
    </row>
    <row r="105" spans="1:3">
      <c r="A105" t="s">
        <v>69</v>
      </c>
      <c r="B105" s="1">
        <f t="array" ref="B105">_xll.qlCreditDefaultSwapCouponLegBPS(B76,C98)</f>
        <v>-4.6073946155840995</v>
      </c>
    </row>
    <row r="106" spans="1:3">
      <c r="A106" t="s">
        <v>70</v>
      </c>
      <c r="B106" s="1">
        <f t="array" ref="B106">_xll.qlCreditDefaultSwapUpfrontBPS(B76,C98)</f>
        <v>-0.99991781159682991</v>
      </c>
    </row>
    <row r="107" spans="1:3">
      <c r="A107" t="s">
        <v>71</v>
      </c>
      <c r="B107" s="1">
        <f t="array" ref="B107">_xll.qlCreditDefaultSwapCouponLegNPV(B76,C98)</f>
        <v>-1382.2183846752298</v>
      </c>
    </row>
    <row r="108" spans="1:3">
      <c r="A108" t="s">
        <v>72</v>
      </c>
      <c r="B108" s="1">
        <f t="array" ref="B108">_xll.qlCreditDefaultSwapDefaultLegNPV(B76,C98)</f>
        <v>784.8400403514446</v>
      </c>
    </row>
    <row r="109" spans="1:3">
      <c r="A109" t="s">
        <v>73</v>
      </c>
      <c r="B109" s="1">
        <f t="array" ref="B109">_xll.qlCreditDefaultSwapUpfrontNPV(B76,C98)</f>
        <v>-4999589.0579841491</v>
      </c>
    </row>
    <row r="110" spans="1:3">
      <c r="A110" t="s">
        <v>74</v>
      </c>
      <c r="B110" s="1">
        <f t="array" ref="B110">_xll.qlCreditDefaultSwapAccrualRebateNPV(B76,C98)</f>
        <v>0.83326484299837666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7F3C-191C-4969-ACFD-5160A0B4D1FE}">
  <dimension ref="A1:F26"/>
  <sheetViews>
    <sheetView workbookViewId="0">
      <selection activeCell="B5" sqref="B5"/>
    </sheetView>
  </sheetViews>
  <sheetFormatPr baseColWidth="10" defaultColWidth="9" defaultRowHeight="14.25"/>
  <cols>
    <col min="1" max="1" width="33.5" customWidth="1"/>
    <col min="2" max="2" width="74.625" style="1" bestFit="1" customWidth="1"/>
    <col min="4" max="4" width="52.125" bestFit="1" customWidth="1"/>
  </cols>
  <sheetData>
    <row r="1" spans="1:6">
      <c r="A1" t="s">
        <v>0</v>
      </c>
      <c r="B1" s="3">
        <v>46174</v>
      </c>
    </row>
    <row r="2" spans="1:6">
      <c r="A2" t="s">
        <v>1</v>
      </c>
      <c r="B2" s="3">
        <f t="array" ref="B2">_xll.qlSettingsSetEvaluationDate(B1)</f>
        <v>46174</v>
      </c>
    </row>
    <row r="3" spans="1:6">
      <c r="B3" s="3"/>
    </row>
    <row r="4" spans="1:6">
      <c r="A4" t="s">
        <v>3</v>
      </c>
      <c r="B4" s="3" t="str">
        <f>_xll.qlFlatForward(B2,0.03,"actual365fixed")</f>
        <v>欣[test_creditdefaultswap.xlsx]qlMakeCreditDefaultSwap!R4C2YieldTermStructureHandle,A</v>
      </c>
    </row>
    <row r="5" spans="1:6">
      <c r="A5" t="s">
        <v>58</v>
      </c>
      <c r="B5" s="1">
        <v>0.4</v>
      </c>
    </row>
    <row r="6" spans="1:6">
      <c r="A6" t="s">
        <v>59</v>
      </c>
      <c r="B6" s="1" t="str">
        <f t="array" ref="B6">_xll.qlFlatHazardRate(B2,0.03,"Act/365")</f>
        <v>欣[test_creditdefaultswap.xlsx]qlMakeCreditDefaultSwap!R6C2DefaultProbabilityTermStructureHandle,A</v>
      </c>
    </row>
    <row r="7" spans="1:6">
      <c r="A7" t="s">
        <v>61</v>
      </c>
      <c r="B7" s="1" t="str">
        <f t="array" ref="B7">_xll.qlMidPointCdsEngine(B6,B5,B4,B2)</f>
        <v>欣[test_creditdefaultswap.xlsx]qlMakeCreditDefaultSwap!R7C2MidPointCdsEngine,A</v>
      </c>
    </row>
    <row r="9" spans="1:6">
      <c r="A9" t="s">
        <v>83</v>
      </c>
      <c r="B9" s="1" t="s">
        <v>102</v>
      </c>
      <c r="D9" t="s">
        <v>84</v>
      </c>
    </row>
    <row r="10" spans="1:6">
      <c r="A10" t="s">
        <v>85</v>
      </c>
      <c r="B10" s="1">
        <v>0.01</v>
      </c>
      <c r="D10" t="s">
        <v>86</v>
      </c>
    </row>
    <row r="11" spans="1:6">
      <c r="A11" t="s">
        <v>87</v>
      </c>
      <c r="B11" s="1">
        <v>0.01</v>
      </c>
      <c r="D11" t="s">
        <v>88</v>
      </c>
    </row>
    <row r="12" spans="1:6">
      <c r="A12" t="s">
        <v>89</v>
      </c>
      <c r="B12" s="1" t="s">
        <v>31</v>
      </c>
      <c r="D12" t="s">
        <v>90</v>
      </c>
    </row>
    <row r="13" spans="1:6">
      <c r="A13" s="7" t="s">
        <v>107</v>
      </c>
      <c r="B13" s="1">
        <v>1000</v>
      </c>
      <c r="D13" t="s">
        <v>91</v>
      </c>
      <c r="F13" s="7"/>
    </row>
    <row r="14" spans="1:6">
      <c r="A14" t="s">
        <v>92</v>
      </c>
      <c r="B14" s="1" t="s">
        <v>103</v>
      </c>
      <c r="D14" t="s">
        <v>93</v>
      </c>
    </row>
    <row r="15" spans="1:6">
      <c r="A15" t="s">
        <v>15</v>
      </c>
      <c r="B15" s="1" t="s">
        <v>104</v>
      </c>
      <c r="D15" t="s">
        <v>94</v>
      </c>
    </row>
    <row r="16" spans="1:6">
      <c r="A16" t="s">
        <v>25</v>
      </c>
      <c r="B16" s="1" t="s">
        <v>104</v>
      </c>
      <c r="D16" t="s">
        <v>95</v>
      </c>
    </row>
    <row r="17" spans="1:6">
      <c r="A17" t="s">
        <v>96</v>
      </c>
      <c r="D17" t="s">
        <v>97</v>
      </c>
      <c r="F17" s="7" t="s">
        <v>106</v>
      </c>
    </row>
    <row r="18" spans="1:6">
      <c r="A18" t="s">
        <v>67</v>
      </c>
      <c r="B18" s="1">
        <v>0</v>
      </c>
      <c r="D18" t="s">
        <v>98</v>
      </c>
    </row>
    <row r="19" spans="1:6">
      <c r="A19" t="s">
        <v>99</v>
      </c>
      <c r="B19" s="1" t="str">
        <f>B7</f>
        <v>欣[test_creditdefaultswap.xlsx]qlMakeCreditDefaultSwap!R7C2MidPointCdsEngine,A</v>
      </c>
      <c r="D19" t="s">
        <v>100</v>
      </c>
    </row>
    <row r="20" spans="1:6">
      <c r="A20" t="s">
        <v>29</v>
      </c>
      <c r="B20" s="3">
        <f>B2-10</f>
        <v>46164</v>
      </c>
      <c r="D20" t="s">
        <v>101</v>
      </c>
    </row>
    <row r="21" spans="1:6" ht="15">
      <c r="A21" s="4" t="s">
        <v>105</v>
      </c>
      <c r="B21" s="1" t="str">
        <f t="array" ref="B21">_xll.qlMakeCreditDefaultSwap(B9,B10,B11,B12,B13,B14,B15,B16,B17,B18,B19,B20,B2)</f>
        <v>欣[test_creditdefaultswap.xlsx]qlMakeCreditDefaultSwap!R21C2CreditDefaultSwap,A</v>
      </c>
    </row>
    <row r="23" spans="1:6">
      <c r="A23" t="s">
        <v>82</v>
      </c>
      <c r="B23" s="1">
        <f t="array" ref="B23">_xll.qlInstrumentNPV(B21)</f>
        <v>32.4172313482213</v>
      </c>
    </row>
    <row r="25" spans="1:6">
      <c r="A25" t="s">
        <v>43</v>
      </c>
      <c r="B25" s="1">
        <f t="array" ref="B25">_xll.qlCreditDefaultSwapNotional(B21)</f>
        <v>1000</v>
      </c>
    </row>
    <row r="26" spans="1:6">
      <c r="B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0A4B-4753-416F-B368-A39CFAB8817E}">
  <dimension ref="A1:B30"/>
  <sheetViews>
    <sheetView workbookViewId="0"/>
  </sheetViews>
  <sheetFormatPr baseColWidth="10" defaultColWidth="9" defaultRowHeight="14.25"/>
  <cols>
    <col min="1" max="1" width="27.25" customWidth="1"/>
    <col min="2" max="2" width="81.5" bestFit="1" customWidth="1"/>
  </cols>
  <sheetData>
    <row r="1" spans="1:2">
      <c r="A1" t="s">
        <v>0</v>
      </c>
      <c r="B1" s="3">
        <v>46174</v>
      </c>
    </row>
    <row r="2" spans="1:2">
      <c r="A2" t="s">
        <v>1</v>
      </c>
      <c r="B2" s="3">
        <f t="array" ref="B2">_xll.qlSettingsSetEvaluationDate(B1)</f>
        <v>46174</v>
      </c>
    </row>
    <row r="4" spans="1:2">
      <c r="A4" t="s">
        <v>75</v>
      </c>
      <c r="B4" s="3">
        <f t="array" ref="B4">_xll.qlCdsMaturity(qlCreditdefaultswap!B2,"1y","CDS",B2)</f>
        <v>46558</v>
      </c>
    </row>
    <row r="5" spans="1:2">
      <c r="A5" t="s">
        <v>76</v>
      </c>
      <c r="B5" s="3">
        <f t="array" ref="B5">_xll.qlCdsMaturity(qlCreditdefaultswap!B2,"6y","cds",B2)</f>
        <v>48385</v>
      </c>
    </row>
    <row r="6" spans="1:2">
      <c r="A6" t="s">
        <v>39</v>
      </c>
      <c r="B6" s="1" t="str">
        <f t="array" ref="B6">_xll.qlMakeSchedule(B4,B5,"3m",,"Ldn","following",,"CDS")</f>
        <v>欣[test_creditdefaultswap.xlsx]qlCdsOption!R6C2Schedule,A</v>
      </c>
    </row>
    <row r="7" spans="1:2">
      <c r="A7" t="s">
        <v>109</v>
      </c>
      <c r="B7" s="1" t="str">
        <f>_xll.qlFaceValueClaim()</f>
        <v>欣[test_creditdefaultswap.xlsx]qlCdsOption!R7C2FaceValueClaim,A</v>
      </c>
    </row>
    <row r="8" spans="1:2">
      <c r="A8" t="s">
        <v>4</v>
      </c>
      <c r="B8" s="1" t="str">
        <f t="array" ref="B8">_xll.qlCreditDefaultSwap("Buy",10000,0.01,B6,"Following","Actual/360",TRUE,TRUE,"20.03.2026",B7,"actual360")</f>
        <v>欣[test_creditdefaultswap.xlsx]qlCdsOption!R8C2CreditDefaultSwap,A</v>
      </c>
    </row>
    <row r="9" spans="1:2">
      <c r="B9" s="1"/>
    </row>
    <row r="10" spans="1:2">
      <c r="A10" t="s">
        <v>77</v>
      </c>
      <c r="B10" s="3">
        <f t="array" ref="B10">_xll.qlCalendarAdvance("Ldn",B4,"-2d")</f>
        <v>46555</v>
      </c>
    </row>
    <row r="11" spans="1:2">
      <c r="A11" t="s">
        <v>78</v>
      </c>
      <c r="B11" s="1" t="str">
        <f t="array" ref="B11">_xll.qlEuropeanExercise(B10)</f>
        <v>欣[test_creditdefaultswap.xlsx]qlCdsOption!R11C2EuropeanExercise,A</v>
      </c>
    </row>
    <row r="13" spans="1:2" ht="15">
      <c r="A13" s="4" t="s">
        <v>79</v>
      </c>
      <c r="B13" s="1" t="str">
        <f t="array" ref="B13">_xll.qlCdsOption(B8,B11)</f>
        <v>欣[test_creditdefaultswap.xlsx]qlCdsOption!R13C2CdsOption,A</v>
      </c>
    </row>
    <row r="14" spans="1:2" ht="15">
      <c r="A14" s="4" t="s">
        <v>79</v>
      </c>
      <c r="B14" s="1" t="str">
        <f t="array" ref="B14">_xll.qlCdsOption(B8,B11,FALSE)</f>
        <v>欣[test_creditdefaultswap.xlsx]qlCdsOption!R14C2CdsOption,A</v>
      </c>
    </row>
    <row r="16" spans="1:2">
      <c r="A16" t="s">
        <v>3</v>
      </c>
      <c r="B16" s="3" t="str">
        <f>_xll.qlFlatForward(B2,0.03,"actual365fixed")</f>
        <v>欣[test_creditdefaultswap.xlsx]qlCdsOption!R16C2YieldTermStructureHandle,A</v>
      </c>
    </row>
    <row r="18" spans="1:2">
      <c r="A18" t="s">
        <v>58</v>
      </c>
      <c r="B18" s="1">
        <v>0.4</v>
      </c>
    </row>
    <row r="19" spans="1:2">
      <c r="A19" t="s">
        <v>59</v>
      </c>
      <c r="B19" s="1" t="str">
        <f t="array" ref="B19">_xll.qlFlatHazardRate(B2,0.03,"Act/365")</f>
        <v>欣[test_creditdefaultswap.xlsx]qlCdsOption!R19C2DefaultProbabilityTermStructureHandle,A</v>
      </c>
    </row>
    <row r="21" spans="1:2">
      <c r="A21" t="s">
        <v>61</v>
      </c>
      <c r="B21" s="1" t="str">
        <f t="array" ref="B21">_xll.qlMidPointCdsEngine(B19,B18,B16,B2)</f>
        <v>欣[test_creditdefaultswap.xlsx]qlCdsOption!R21C2MidPointCdsEngine,A</v>
      </c>
    </row>
    <row r="22" spans="1:2">
      <c r="B22" s="1" t="b">
        <f t="array" ref="B22">_xll.qlInstrumentSetPricingEngine(B8,B21,B2)</f>
        <v>1</v>
      </c>
    </row>
    <row r="24" spans="1:2">
      <c r="A24" t="s">
        <v>80</v>
      </c>
      <c r="B24" s="1">
        <v>0.5</v>
      </c>
    </row>
    <row r="26" spans="1:2" ht="15">
      <c r="A26" s="4" t="s">
        <v>81</v>
      </c>
      <c r="B26" s="1" t="str">
        <f t="array" ref="B26">_xll.qlBlackCdsOptionEngine(B19,B18,B16,B24,B2)</f>
        <v>欣[test_creditdefaultswap.xlsx]qlCdsOption!R26C2BlackCdsOptionEngine,A</v>
      </c>
    </row>
    <row r="27" spans="1:2" ht="15">
      <c r="A27" s="4" t="s">
        <v>81</v>
      </c>
      <c r="B27" s="1" t="str">
        <f t="array" ref="B27">_xll.qlBlackCdsOptionEngine(B19,B18,B16,B24,B2)</f>
        <v>欣[test_creditdefaultswap.xlsx]qlCdsOption!R27C2BlackCdsOptionEngine,A</v>
      </c>
    </row>
    <row r="29" spans="1:2">
      <c r="A29" t="s">
        <v>82</v>
      </c>
      <c r="B29">
        <f t="array" ref="B29">_xll.qlInstrumentNPV(B13,_xll.qlInstrumentSetPricingEngine(B13,B26))</f>
        <v>358.19239828252648</v>
      </c>
    </row>
    <row r="30" spans="1:2">
      <c r="A30" t="s">
        <v>82</v>
      </c>
      <c r="B30">
        <f t="array" ref="B30">_xll.qlInstrumentNPV(B14,_xll.qlInstrumentSetPricingEngine(B14,B27))</f>
        <v>537.46850787665062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qlCreditdefaultswap</vt:lpstr>
      <vt:lpstr>qlMakeCreditDefaultSwap</vt:lpstr>
      <vt:lpstr>qlCdsOption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2026-06-19T10:59:15Z</dcterms:created>
  <dcterms:modified xsi:type="dcterms:W3CDTF">2026-09-14T09:51:10Z</dcterms:modified>
</cp:coreProperties>
</file>