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CAE41042-D787-4880-85AF-525353978C3D}" xr6:coauthVersionLast="36" xr6:coauthVersionMax="47" xr10:uidLastSave="{00000000-0000-0000-0000-000000000000}"/>
  <bookViews>
    <workbookView xWindow="15105" yWindow="-19605" windowWidth="21915" windowHeight="17220" xr2:uid="{18D4354C-E763-4BBF-8300-753A3273D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B2" i="1" a="1"/>
  <c r="B12" i="1" a="1"/>
  <c r="B12" i="1" l="1"/>
  <c r="B2" i="1"/>
  <c r="B6" i="1" a="1"/>
  <c r="B4" i="1"/>
  <c r="B6" i="1" l="1"/>
  <c r="B13" i="1" a="1"/>
  <c r="B9" i="1" a="1"/>
  <c r="B15" i="1" a="1"/>
  <c r="B15" i="1" l="1"/>
  <c r="B9" i="1"/>
  <c r="B13" i="1"/>
  <c r="B16" i="1" a="1"/>
  <c r="B25" i="1" a="1"/>
  <c r="B26" i="1" a="1"/>
  <c r="B27" i="1" a="1"/>
  <c r="B27" i="1" l="1"/>
  <c r="B26" i="1"/>
  <c r="B25" i="1"/>
  <c r="B16" i="1"/>
  <c r="B20" i="1"/>
  <c r="B19" i="1"/>
  <c r="B18" i="1"/>
  <c r="B17" i="1"/>
  <c r="B22" i="1" a="1"/>
  <c r="B22" i="1"/>
  <c r="B32" i="1" a="1"/>
  <c r="B32" i="1"/>
  <c r="B31" i="1" a="1"/>
  <c r="B31" i="1"/>
  <c r="B30" i="1" a="1"/>
  <c r="B30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<sst xmlns="http://schemas.openxmlformats.org/spreadsheetml/2006/main" count="19" uniqueCount="16">
  <si>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Today</t>
  </si>
  <si>
    <t>Set evaluation date</t>
  </si>
  <si>
    <t>Discount curve</t>
  </si>
  <si>
    <t>Dividend curve</t>
  </si>
  <si>
    <t>Volatility</t>
  </si>
  <si>
    <t>Spot</t>
  </si>
  <si>
    <t>Process</t>
  </si>
  <si>
    <t>qlPercentageStrikePayoff</t>
  </si>
  <si>
    <t>qlEuropeanExercise</t>
  </si>
  <si>
    <t>Reset schedule</t>
  </si>
  <si>
    <t>qlCliquetOption</t>
  </si>
  <si>
    <t>Engines</t>
  </si>
  <si>
    <t>qlAnalyticCliquetEngine</t>
  </si>
  <si>
    <t>qlAnalyticPerformanceEngine</t>
  </si>
  <si>
    <t>qlMCPerformanceEngine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</si>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</sst>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4652-16FC-44DA-ACA9-77DA8AF6C3ED}">
  <dimension ref="A1:B32"/>
  <sheetViews>
    <sheetView tabSelected="1" workbookViewId="0"/>
  </sheetViews>
  <sheetFormatPr baseColWidth="10" defaultColWidth="9" defaultRowHeight="14.25"/>
  <cols>
    <col min="1" max="1" width="26.625" bestFit="1" customWidth="1"/>
    <col min="2" max="2" width="62.5" style="2" bestFit="1" customWidth="1"/>
  </cols>
  <sheetData>
    <row r="1" spans="1:2">
      <c r="A1" t="s">
        <v>0</v>
      </c>
      <c r="B1" s="1">
        <v>46174</v>
      </c>
    </row>
    <row r="2" spans="1:2">
      <c r="A2" t="s">
        <v>1</v>
      </c>
      <c r="B2" s="1" cm="1">
        <f t="array" ref="B2">_xll.qlSettingsSetEvaluationDate(B1)</f>
        <v>46174</v>
      </c>
    </row>
    <row r="4" spans="1:2">
      <c r="A4" t="s">
        <v>2</v>
      </c>
      <c r="B4" s="2" t="str">
        <f>_xll.qlFlatForward(B2,0.03,"actual365fixed")</f>
        <v>欣[test_cliquetoptions.xlsx]Sheet1!R4C2YieldTermStructureHandle,A</v>
      </c>
    </row>
    <row r="5" spans="1:2">
      <c r="A5" t="s">
        <v>3</v>
      </c>
      <c r="B5" s="2" t="str">
        <f>_xll.qlFlatForward(B2,0.01,"actual365fixed")</f>
        <v>欣[test_cliquetoptions.xlsx]Sheet1!R5C2YieldTermStructureHandle,A</v>
      </c>
    </row>
    <row r="6" spans="1:2">
      <c r="A6" t="s">
        <v>4</v>
      </c>
      <c r="B6" s="2" t="str" cm="1">
        <f t="array" ref="B6">_xll.qlBlackConstantVol(B2,"NullCalendar",0.25,"Act/365")</f>
        <v>欣[test_cliquetoptions.xlsx]Sheet1!R6C2BlackVolTermStructureHandle,A</v>
      </c>
    </row>
    <row r="7" spans="1:2">
      <c r="A7" t="s">
        <v>5</v>
      </c>
      <c r="B7" s="2">
        <v>100</v>
      </c>
    </row>
    <row r="9" spans="1:2">
      <c r="A9" t="s">
        <v>6</v>
      </c>
      <c r="B9" s="2" t="str" cm="1">
        <f t="array" ref="B9">_xll.qlGeneralizedBlackScholesProcess(B7,B5,B4,B6)</f>
        <v>欣[test_cliquetoptions.xlsx]Sheet1!R9C2GeneralizedBlackScholesProcess,A</v>
      </c>
    </row>
    <row r="12" spans="1:2">
      <c r="A12" t="s">
        <v>7</v>
      </c>
      <c r="B12" s="2" t="str" cm="1">
        <f t="array" ref="B12">_xll.qlPercentageStrikePayoff("Call",1.1)</f>
        <v>欣[test_cliquetoptions.xlsx]Sheet1!R12C2PercentageStrikePayoff,A</v>
      </c>
    </row>
    <row r="13" spans="1:2">
      <c r="A13" t="s">
        <v>8</v>
      </c>
      <c r="B13" s="2" t="str" cm="1">
        <f t="array" ref="B13">_xll.qlEuropeanExercise(B2+365)</f>
        <v>欣[test_cliquetoptions.xlsx]Sheet1!R13C2EuropeanExercise,A</v>
      </c>
    </row>
    <row r="15" spans="1:2">
      <c r="A15" t="s">
        <v>9</v>
      </c>
      <c r="B15" s="2" t="str" cm="1">
        <f t="array" ref="B15">_xll.qlMakeSchedule(B2,B2+365,"3m")</f>
        <v>欣[test_cliquetoptions.xlsx]Sheet1!R15C2Schedule,A</v>
      </c>
    </row>
    <row r="16" spans="1:2">
      <c r="B16" s="1" cm="1">
        <f t="array" ref="B16:B20">_xll.qlScheduleDates(B15)</f>
        <v>46174</v>
      </c>
    </row>
    <row r="17" spans="1:2">
      <c r="B17" s="1">
        <v>46266</v>
      </c>
    </row>
    <row r="18" spans="1:2">
      <c r="B18" s="1">
        <v>46357</v>
      </c>
    </row>
    <row r="19" spans="1:2">
      <c r="B19" s="1">
        <v>46447</v>
      </c>
    </row>
    <row r="20" spans="1:2">
      <c r="B20" s="1">
        <v>46539</v>
      </c>
    </row>
    <row r="22" spans="1:2" ht="15">
      <c r="A22" s="3" t="s">
        <v>10</v>
      </c>
      <c r="B22" s="2" t="str" cm="1">
        <f t="array" ref="B22">_xll.qlCliquetOption(B12,B13,B17:B19)</f>
        <v>欣[test_cliquetoptions.xlsx]Sheet1!R22C2CliquetOption,A</v>
      </c>
    </row>
    <row r="24" spans="1:2" ht="15">
      <c r="A24" s="3" t="s">
        <v>11</v>
      </c>
    </row>
    <row r="25" spans="1:2">
      <c r="A25" s="4" t="s">
        <v>12</v>
      </c>
      <c r="B25" s="2" t="str" cm="1">
        <f t="array" ref="B25">_xll.qlAnalyticCliquetEngine(B9)</f>
        <v>欣[test_cliquetoptions.xlsx]Sheet1!R25C2AnalyticCliquetEngine,A</v>
      </c>
    </row>
    <row r="26" spans="1:2">
      <c r="A26" t="s">
        <v>13</v>
      </c>
      <c r="B26" s="2" t="str" cm="1">
        <f t="array" ref="B26">_xll.qlAnalyticPerformanceEngine(B9)</f>
        <v>欣[test_cliquetoptions.xlsx]Sheet1!R26C2AnalyticPerformanceEngine,A</v>
      </c>
    </row>
    <row r="27" spans="1:2">
      <c r="A27" t="s">
        <v>14</v>
      </c>
      <c r="B27" s="2" t="str" cm="1">
        <f t="array" ref="B27">_xll.qlMCPerformanceEngine(B9,"LD",,,1024)</f>
        <v>欣[test_cliquetoptions.xlsx]Sheet1!R27C2MCLDPerformanceEngine,A</v>
      </c>
    </row>
    <row r="29" spans="1:2" ht="15">
      <c r="A29" s="3" t="s">
        <v>15</v>
      </c>
    </row>
    <row r="30" spans="1:2">
      <c r="A30" s="4" t="s">
        <v>12</v>
      </c>
      <c r="B30" s="2" cm="1">
        <f t="array" ref="B30">_xll.qlInstrumentNPV($B$22,_xll.qlInstrumentSetPricingEngine($B$22,B25))</f>
        <v>5.3314437143560296</v>
      </c>
    </row>
    <row r="31" spans="1:2">
      <c r="A31" t="s">
        <v>13</v>
      </c>
      <c r="B31" s="2" cm="1">
        <f t="array" ref="B31">_xll.qlInstrumentNPV($B$22,_xll.qlInstrumentSetPricingEngine($B$22,B26))</f>
        <v>5.2783213639053736E-2</v>
      </c>
    </row>
    <row r="32" spans="1:2">
      <c r="A32" t="s">
        <v>14</v>
      </c>
      <c r="B32" s="2" cm="1">
        <f t="array" ref="B32">_xll.qlInstrumentNPV($B$22,_xll.qlInstrumentSetPricingEngine($B$22,B27))</f>
        <v>5.2136852766657207E-2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2026-08-29T06:30:05Z</dcterms:created>
  <dcterms:modified xsi:type="dcterms:W3CDTF">2026-09-10T12:41:40Z</dcterms:modified>
</cp:coreProperties>
</file>