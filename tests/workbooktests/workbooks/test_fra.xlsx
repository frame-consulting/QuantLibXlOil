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84AFC3DA-8C4C-45FF-946D-195926EF2395}" xr6:coauthVersionLast="47" xr6:coauthVersionMax="47" xr10:uidLastSave="{00000000-0000-0000-0000-000000000000}"/>
  <bookViews>
    <workbookView xWindow="17040" yWindow="-20250" windowWidth="20565" windowHeight="18960" xr2:uid="{00000000-000D-0000-FFFF-FFFF00000000}"/>
  </bookViews>
  <sheets>
    <sheet name="F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 a="1"/>
  <c r="B2" i="1" l="1"/>
  <c r="B4" i="1" a="1"/>
  <c r="B7" i="1" a="1"/>
  <c r="B7" i="1" l="1"/>
  <c r="C7" i="1" s="1"/>
  <c r="B4" i="1"/>
  <c r="C12" i="1" s="1"/>
  <c r="B8" i="1" a="1"/>
  <c r="B6" i="1" a="1"/>
  <c r="B6" i="1" l="1"/>
  <c r="B8" i="1"/>
  <c r="C8" i="1" s="1"/>
  <c r="B13" i="1" a="1"/>
  <c r="B14" i="1" a="1"/>
  <c r="B14" i="1" l="1"/>
  <c r="B13" i="1"/>
  <c r="C6" i="1"/>
  <c r="B16" i="1" a="1"/>
  <c r="B17" i="1" a="1"/>
  <c r="B18" i="1" a="1"/>
  <c r="C13" i="1" a="1"/>
  <c r="C14" i="1" a="1"/>
  <c r="C14" i="1" l="1"/>
  <c r="C13" i="1"/>
  <c r="B18" i="1"/>
  <c r="B17" i="1"/>
  <c r="B16" i="1"/>
  <c r="C16" i="1" a="1"/>
  <c r="C18" i="1" a="1"/>
  <c r="C17" i="1" a="1"/>
  <c r="C17" i="1" l="1"/>
  <c r="C18" i="1"/>
  <c r="C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<sst xmlns="http://schemas.openxmlformats.org/spreadsheetml/2006/main" count="17" uniqueCount="16">
  <si>
    <t>index</t>
  </si>
  <si>
    <t>value_date</t>
  </si>
  <si>
    <t>maturity_date</t>
  </si>
  <si>
    <t>position</t>
  </si>
  <si>
    <t>strike_forward_rate</t>
  </si>
  <si>
    <t>notional</t>
  </si>
  <si>
    <t>discount_curve</t>
  </si>
  <si>
    <t>today</t>
  </si>
  <si>
    <t>set evaluation date</t>
  </si>
  <si>
    <t>Long</t>
  </si>
  <si>
    <t>curve</t>
  </si>
  <si>
    <t>qlForwardRateAgreement</t>
  </si>
  <si>
    <t>qlForwardRateAgreement2</t>
  </si>
  <si>
    <t>qlForwardRateAgreementAmount</t>
  </si>
  <si>
    <t>qlForwardRateAgreementFixingDate</t>
  </si>
  <si>
    <t>qlForwardRateAgreementForwardRate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</si>
</sst>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4" x14ac:dyDescent="0.3"/>
  <cols>
    <col min="1" max="1" width="35.109375" bestFit="1" customWidth="1"/>
    <col min="2" max="2" width="53.21875" style="2" bestFit="1" customWidth="1"/>
    <col min="3" max="3" width="53.21875" style="2" customWidth="1"/>
  </cols>
  <sheetData>
    <row r="1" spans="1:3" x14ac:dyDescent="0.3">
      <c r="A1" t="s">
        <v>7</v>
      </c>
      <c r="B1" s="1">
        <v>46235</v>
      </c>
      <c r="C1" s="1"/>
    </row>
    <row r="2" spans="1:3" x14ac:dyDescent="0.3">
      <c r="A2" t="s">
        <v>8</v>
      </c>
      <c r="B2" s="1" cm="1">
        <f t="array" ref="B2">_xll.qlSettingsSetEvaluationDate(B1)</f>
        <v>46235</v>
      </c>
      <c r="C2" s="1"/>
    </row>
    <row r="4" spans="1:3" x14ac:dyDescent="0.3">
      <c r="A4" t="s">
        <v>10</v>
      </c>
      <c r="B4" s="2" t="str" cm="1">
        <f t="array" ref="B4">_xll.qlFlatForward(B2,0.03,"Act/365")</f>
        <v>欣[test_fra.xlsx]Tabelle1!R4C2YieldTermStructureHandle,A</v>
      </c>
    </row>
    <row r="6" spans="1:3" x14ac:dyDescent="0.3">
      <c r="A6" t="s">
        <v>0</v>
      </c>
      <c r="B6" s="2" t="str" cm="1">
        <f t="array" ref="B6">_xll.qlEuribor("3M",B4)</f>
        <v>欣[test_fra.xlsx]Tabelle1!R6C2Euribor,A</v>
      </c>
      <c r="C6" s="2" t="str">
        <f>B6</f>
        <v>欣[test_fra.xlsx]Tabelle1!R6C2Euribor,A</v>
      </c>
    </row>
    <row r="7" spans="1:3" x14ac:dyDescent="0.3">
      <c r="A7" t="s">
        <v>1</v>
      </c>
      <c r="B7" s="1" cm="1">
        <f t="array" ref="B7">_xll.qlCalendarAdvance("Target",B2,"1M","following")</f>
        <v>46266</v>
      </c>
      <c r="C7" s="1">
        <f>B7</f>
        <v>46266</v>
      </c>
    </row>
    <row r="8" spans="1:3" x14ac:dyDescent="0.3">
      <c r="A8" t="s">
        <v>2</v>
      </c>
      <c r="B8" s="1" cm="1">
        <f t="array" ref="B8">_xll.qlCalendarAdvance("Target",B7,"3M","following")</f>
        <v>46357</v>
      </c>
      <c r="C8" s="1">
        <f>B8</f>
        <v>46357</v>
      </c>
    </row>
    <row r="9" spans="1:3" x14ac:dyDescent="0.3">
      <c r="A9" t="s">
        <v>3</v>
      </c>
      <c r="B9" s="2" t="s">
        <v>9</v>
      </c>
      <c r="C9" s="2" t="s">
        <v>9</v>
      </c>
    </row>
    <row r="10" spans="1:3" x14ac:dyDescent="0.3">
      <c r="A10" t="s">
        <v>4</v>
      </c>
      <c r="B10" s="3">
        <v>0.03</v>
      </c>
      <c r="C10" s="3">
        <v>0.03</v>
      </c>
    </row>
    <row r="11" spans="1:3" x14ac:dyDescent="0.3">
      <c r="A11" t="s">
        <v>5</v>
      </c>
      <c r="B11" s="2">
        <v>10000</v>
      </c>
      <c r="C11" s="2">
        <v>10000</v>
      </c>
    </row>
    <row r="12" spans="1:3" x14ac:dyDescent="0.3">
      <c r="A12" t="s">
        <v>6</v>
      </c>
      <c r="C12" s="2" t="str">
        <f>B4</f>
        <v>欣[test_fra.xlsx]Tabelle1!R4C2YieldTermStructureHandle,A</v>
      </c>
    </row>
    <row r="13" spans="1:3" x14ac:dyDescent="0.3">
      <c r="A13" s="5" t="s">
        <v>11</v>
      </c>
      <c r="B13" s="2" t="str" cm="1">
        <f t="array" ref="B13">_xll.qlForwardRateAgreement(B6,B7,B9,B10,B11)</f>
        <v>欣[test_fra.xlsx]Tabelle1!R13C2ForwardRateAgreement,A</v>
      </c>
      <c r="C13" s="2" t="str" cm="1">
        <f t="array" ref="C13">_xll.qlForwardRateAgreement(C6,C7,C9,C10,C11,C12)</f>
        <v>欣[test_fra.xlsx]Tabelle1!R13C3ForwardRateAgreement,A</v>
      </c>
    </row>
    <row r="14" spans="1:3" x14ac:dyDescent="0.3">
      <c r="A14" s="5" t="s">
        <v>12</v>
      </c>
      <c r="B14" s="2" t="str" cm="1">
        <f t="array" ref="B14">_xll.qlForwardRateAgreement2(B6,B7,B8,B9,B10,B11,)</f>
        <v>欣[test_fra.xlsx]Tabelle1!R14C2ForwardRateAgreement,A</v>
      </c>
      <c r="C14" s="2" t="str" cm="1">
        <f t="array" ref="C14">_xll.qlForwardRateAgreement2(C6,C7,C8,C9,C10,C11,C12)</f>
        <v>欣[test_fra.xlsx]Tabelle1!R14C3ForwardRateAgreement,A</v>
      </c>
    </row>
    <row r="16" spans="1:3" x14ac:dyDescent="0.3">
      <c r="A16" s="5" t="s">
        <v>13</v>
      </c>
      <c r="B16" s="4" cm="1">
        <f t="array" ref="B16">_xll.qlForwardRateAgreementAmount(B13)</f>
        <v>-0.752751823494064</v>
      </c>
      <c r="C16" s="4" cm="1">
        <f t="array" ref="C16">_xll.qlForwardRateAgreementAmount(C13)</f>
        <v>-0.752751823494064</v>
      </c>
    </row>
    <row r="17" spans="1:3" x14ac:dyDescent="0.3">
      <c r="A17" s="5" t="s">
        <v>14</v>
      </c>
      <c r="B17" s="1" cm="1">
        <f t="array" ref="B17">_xll.qlForwardRateAgreementFixingDate(B13)</f>
        <v>46262</v>
      </c>
      <c r="C17" s="1" cm="1">
        <f t="array" ref="C17">_xll.qlForwardRateAgreementFixingDate(C13)</f>
        <v>46262</v>
      </c>
    </row>
    <row r="18" spans="1:3" x14ac:dyDescent="0.3">
      <c r="A18" s="5" t="s">
        <v>15</v>
      </c>
      <c r="B18" s="2" cm="1">
        <f t="array" ref="B18">_xll.qlForwardRateAgreementForwardRate(B13)</f>
        <v>2.9699972398988417E-2</v>
      </c>
      <c r="C18" s="2" cm="1">
        <f t="array" ref="C18">_xll.qlForwardRateAgreementForwardRate(C13)</f>
        <v>2.9699972398988417E-2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Schlenkrich</cp:lastModifiedBy>
  <dcterms:created xsi:type="dcterms:W3CDTF">2015-06-05T18:19:34Z</dcterms:created>
  <dcterms:modified xsi:type="dcterms:W3CDTF">2026-10-30T09:29:46Z</dcterms:modified>
</cp:coreProperties>
</file>