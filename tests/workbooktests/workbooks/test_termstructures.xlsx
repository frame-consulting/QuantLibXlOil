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C66E6B1A-0AC4-4B4F-ACFE-E480FB552C76}" xr6:coauthVersionLast="36" xr6:coauthVersionMax="47" xr10:uidLastSave="{00000000-0000-0000-0000-000000000000}"/>
  <bookViews>
    <workbookView xWindow="3450" yWindow="-18675" windowWidth="30690" windowHeight="16530" xr2:uid="{AB19F68A-3F3A-4039-9EC4-FD0D0D1E9554}"/>
  </bookViews>
  <sheets>
    <sheet name="YieldTermStructure" sheetId="1" r:id="rId1"/>
    <sheet name="Spreaded YieldTermStruc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C11" i="1" s="1"/>
  <c r="C17" i="2"/>
  <c r="C9" i="2"/>
  <c r="C11" i="2" a="1"/>
  <c r="C14" i="2" a="1"/>
  <c r="C8" i="1"/>
  <c r="C19" i="1" a="1"/>
  <c r="C17" i="1" a="1"/>
  <c r="C15" i="1" a="1"/>
  <c r="C29" i="1" a="1"/>
  <c r="C25" i="1" a="1"/>
  <c r="C16" i="1" a="1"/>
  <c r="C13" i="1" a="1"/>
  <c r="C14" i="1" a="1"/>
  <c r="C18" i="1" a="1"/>
  <c r="C27" i="1" a="1"/>
  <c r="C32" i="1"/>
  <c r="C33" i="1" s="1" a="1"/>
  <c r="C14" i="2" l="1"/>
  <c r="C11" i="2"/>
  <c r="C33" i="1"/>
  <c r="C27" i="1"/>
  <c r="C18" i="1"/>
  <c r="C14" i="1"/>
  <c r="C13" i="1"/>
  <c r="C16" i="1"/>
  <c r="C25" i="1"/>
  <c r="C29" i="1"/>
  <c r="C15" i="1"/>
  <c r="C17" i="1"/>
  <c r="C19" i="1"/>
  <c r="C19" i="2" a="1"/>
  <c r="C22" i="2" a="1"/>
  <c r="C15" i="2" a="1"/>
  <c r="C12" i="2" a="1"/>
  <c r="C20" i="1" a="1"/>
  <c r="C28" i="1" a="1"/>
  <c r="C26" i="1" a="1"/>
  <c r="C30" i="1" a="1"/>
  <c r="C12" i="2" l="1"/>
  <c r="C15" i="2"/>
  <c r="C22" i="2"/>
  <c r="C19" i="2"/>
  <c r="C30" i="1"/>
  <c r="C26" i="1"/>
  <c r="C28" i="1"/>
  <c r="C20" i="1"/>
  <c r="C23" i="2" a="1"/>
  <c r="C20" i="2" a="1"/>
  <c r="C21" i="1" a="1"/>
  <c r="C20" i="2" l="1"/>
  <c r="C23" i="2"/>
  <c r="C21" i="1"/>
  <c r="C22" i="1" a="1"/>
  <c r="C22" i="1" l="1"/>
  <c r="C23" i="1" a="1"/>
  <c r="C23" i="1" l="1"/>
</calcChain>
</file>

<file path=xl/sharedStrings.xml><?xml version="1.0" encoding="utf-8"?>
<sst xmlns="http://schemas.openxmlformats.org/spreadsheetml/2006/main" count="49" uniqueCount="32">
  <si>
    <t>ReferenceDate</t>
  </si>
  <si>
    <t>Rate</t>
  </si>
  <si>
    <t>DayCounter</t>
  </si>
  <si>
    <t>Actual365Fixed</t>
  </si>
  <si>
    <t>Compounding</t>
  </si>
  <si>
    <t>Compounded</t>
  </si>
  <si>
    <t>Frequency</t>
  </si>
  <si>
    <t>Annual</t>
  </si>
  <si>
    <t>qlFlatForward</t>
  </si>
  <si>
    <t>qlTermStructureDayCounter</t>
  </si>
  <si>
    <t>Date1</t>
  </si>
  <si>
    <t>Date2</t>
  </si>
  <si>
    <t>qlTermStructureTimeFromReference</t>
  </si>
  <si>
    <t>qlTermStructureCalendar</t>
  </si>
  <si>
    <t>qlTermStructureReferenceDate</t>
  </si>
  <si>
    <t>qlTermStructureMaxDate</t>
  </si>
  <si>
    <t>qlTermStructureMaxTime</t>
  </si>
  <si>
    <t>qlTermStructureEnableExrapolation</t>
  </si>
  <si>
    <t>qlTermStructureDisableExrapolation</t>
  </si>
  <si>
    <t>qlTermStructureAllowsExtrapolation</t>
  </si>
  <si>
    <t>qlYieldTermStructureDiscount</t>
  </si>
  <si>
    <t>qlYieldTermStructureDiscountFromTime</t>
  </si>
  <si>
    <t>qlYieldTermStructureZeroRate</t>
  </si>
  <si>
    <t>qlYieldTermStructureZeroRateFromTime</t>
  </si>
  <si>
    <t>qlYieldTermStructureForwardRate</t>
  </si>
  <si>
    <t>qlYieldTermStructureForwardRateFromTime</t>
  </si>
  <si>
    <t>qlImpliedTermStructure</t>
  </si>
  <si>
    <t>Spread</t>
  </si>
  <si>
    <t>qlZeroSpreadedTermStructure</t>
  </si>
  <si>
    <t>qlForwardSpreadedTermStructure</t>
  </si>
  <si>
    <t>qlFlatForward (Spread)</t>
  </si>
  <si>
    <t>qlCompositeZeroYieldStructure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</si>
</sst>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0F9D-4D9E-4CE9-B99E-C913C431EFF3}">
  <dimension ref="B2:C33"/>
  <sheetViews>
    <sheetView tabSelected="1" workbookViewId="0">
      <selection activeCell="B1" sqref="B1"/>
    </sheetView>
  </sheetViews>
  <sheetFormatPr baseColWidth="10" defaultColWidth="9" defaultRowHeight="14.25"/>
  <cols>
    <col min="2" max="2" width="39.125" bestFit="1" customWidth="1"/>
    <col min="3" max="3" width="15.125" customWidth="1"/>
  </cols>
  <sheetData>
    <row r="2" spans="2:3">
      <c r="B2" t="s">
        <v>0</v>
      </c>
      <c r="C2" s="1">
        <v>45658</v>
      </c>
    </row>
    <row r="3" spans="2:3">
      <c r="B3" t="s">
        <v>1</v>
      </c>
      <c r="C3">
        <v>0.03</v>
      </c>
    </row>
    <row r="4" spans="2:3">
      <c r="B4" t="s">
        <v>2</v>
      </c>
      <c r="C4" t="s">
        <v>3</v>
      </c>
    </row>
    <row r="5" spans="2:3">
      <c r="B5" t="s">
        <v>4</v>
      </c>
      <c r="C5" t="s">
        <v>5</v>
      </c>
    </row>
    <row r="6" spans="2:3">
      <c r="B6" t="s">
        <v>6</v>
      </c>
      <c r="C6" t="s">
        <v>7</v>
      </c>
    </row>
    <row r="8" spans="2:3">
      <c r="B8" t="s">
        <v>8</v>
      </c>
      <c r="C8" t="str">
        <f>_xll.qlFlatForward(C2,C3,C4,C5,C6)</f>
        <v>欣[test_termstructures.xlsx]YieldTermStructure!R8C3YieldTermStructureHandle,A</v>
      </c>
    </row>
    <row r="10" spans="2:3">
      <c r="B10" t="s">
        <v>10</v>
      </c>
      <c r="C10" s="1">
        <f>C2+365</f>
        <v>46023</v>
      </c>
    </row>
    <row r="11" spans="2:3">
      <c r="B11" t="s">
        <v>11</v>
      </c>
      <c r="C11" s="1">
        <f>C10+365</f>
        <v>46388</v>
      </c>
    </row>
    <row r="13" spans="2:3">
      <c r="B13" t="s">
        <v>9</v>
      </c>
      <c r="C13" t="str">
        <f t="array" ref="C13">_xll.qlTermStructureDayCounter(C8)</f>
        <v>Actual/365 (Fixed)</v>
      </c>
    </row>
    <row r="14" spans="2:3">
      <c r="B14" t="s">
        <v>12</v>
      </c>
      <c r="C14">
        <f t="array" ref="C14">_xll.qlTermStructureTimeFromReference(C8,C10)</f>
        <v>1</v>
      </c>
    </row>
    <row r="15" spans="2:3">
      <c r="B15" t="s">
        <v>13</v>
      </c>
      <c r="C15" s="3">
        <f t="array" ref="C15">FIND("RuntimeError: RuntimeError: no calendar implementation provided", _xll.qlTermStructureCalendar(C8))</f>
        <v>1</v>
      </c>
    </row>
    <row r="16" spans="2:3">
      <c r="B16" t="s">
        <v>14</v>
      </c>
      <c r="C16" s="1">
        <f t="array" ref="C16">_xll.qlTermStructureReferenceDate(C8)</f>
        <v>45658</v>
      </c>
    </row>
    <row r="17" spans="2:3">
      <c r="B17" t="s">
        <v>15</v>
      </c>
      <c r="C17" s="1">
        <f t="array" ref="C17">_xll.qlTermStructureMaxDate(C8)</f>
        <v>109574</v>
      </c>
    </row>
    <row r="18" spans="2:3">
      <c r="B18" t="s">
        <v>16</v>
      </c>
      <c r="C18" s="2">
        <f t="array" ref="C18">_xll.qlTermStructureMaxTime(C8)</f>
        <v>175.1123287671233</v>
      </c>
    </row>
    <row r="19" spans="2:3">
      <c r="B19" t="s">
        <v>19</v>
      </c>
      <c r="C19" t="b">
        <f t="array" ref="C19">_xll.qlTermStructureAllowsExtrapolation(C8)</f>
        <v>0</v>
      </c>
    </row>
    <row r="20" spans="2:3">
      <c r="B20" t="s">
        <v>17</v>
      </c>
      <c r="C20" t="b">
        <f t="array" ref="C20">_xll.qlTermStructureEnableExrapolation(C8,C19)</f>
        <v>1</v>
      </c>
    </row>
    <row r="21" spans="2:3">
      <c r="B21" t="s">
        <v>19</v>
      </c>
      <c r="C21" t="b">
        <f t="array" ref="C21">_xll.qlTermStructureAllowsExtrapolation(C8,C20)</f>
        <v>1</v>
      </c>
    </row>
    <row r="22" spans="2:3">
      <c r="B22" t="s">
        <v>18</v>
      </c>
      <c r="C22" t="b">
        <f t="array" ref="C22">_xll.qlTermStructureDisableExrapolation(C8,C21)</f>
        <v>1</v>
      </c>
    </row>
    <row r="23" spans="2:3">
      <c r="B23" t="s">
        <v>19</v>
      </c>
      <c r="C23" t="b">
        <f t="array" ref="C23">_xll.qlTermStructureAllowsExtrapolation(C8,C22)</f>
        <v>0</v>
      </c>
    </row>
    <row r="25" spans="2:3">
      <c r="B25" t="s">
        <v>20</v>
      </c>
      <c r="C25">
        <f t="array" ref="C25">_xll.qlYieldTermStructureDiscount(C8,C10)</f>
        <v>0.970873786407767</v>
      </c>
    </row>
    <row r="26" spans="2:3">
      <c r="B26" t="s">
        <v>21</v>
      </c>
      <c r="C26">
        <f t="array" ref="C26">_xll.qlYieldTermStructureDiscountFromTime(C8,C14)</f>
        <v>0.970873786407767</v>
      </c>
    </row>
    <row r="27" spans="2:3">
      <c r="B27" t="s">
        <v>22</v>
      </c>
      <c r="C27">
        <f t="array" ref="C27">_xll.qlYieldTermStructureZeroRate(C8,C10,C4,C5,C6)</f>
        <v>3.0000000000000027E-2</v>
      </c>
    </row>
    <row r="28" spans="2:3">
      <c r="B28" t="s">
        <v>23</v>
      </c>
      <c r="C28">
        <f t="array" ref="C28">_xll.qlYieldTermStructureZeroRateFromTime(C8,C14,C5,C6)</f>
        <v>3.0000000000000027E-2</v>
      </c>
    </row>
    <row r="29" spans="2:3">
      <c r="B29" t="s">
        <v>24</v>
      </c>
      <c r="C29">
        <f t="array" ref="C29">_xll.qlYieldTermStructureForwardRate(C8,C10,C11,C4,C5,C6)</f>
        <v>3.0000000000000027E-2</v>
      </c>
    </row>
    <row r="30" spans="2:3">
      <c r="B30" t="s">
        <v>25</v>
      </c>
      <c r="C30">
        <f t="array" ref="C30">_xll.qlYieldTermStructureForwardRateFromTime(C8,C14,C14,C5,C6)</f>
        <v>2.9999999998685745E-2</v>
      </c>
    </row>
    <row r="32" spans="2:3">
      <c r="B32" t="s">
        <v>26</v>
      </c>
      <c r="C32" t="str">
        <f>_xll.qlImpliedTermStructure(C8,C10)</f>
        <v>欣[test_termstructures.xlsx]YieldTermStructure!R32C3YieldTermStructureHandle,A</v>
      </c>
    </row>
    <row r="33" spans="2:3">
      <c r="B33" t="s">
        <v>20</v>
      </c>
      <c r="C33">
        <f t="array" ref="C33">_xll.qlYieldTermStructureDiscount(C32,C10)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766F-DC5A-4DE8-A88C-90956781BACE}">
  <dimension ref="B2:C23"/>
  <sheetViews>
    <sheetView workbookViewId="0">
      <selection activeCell="B1" sqref="B1"/>
    </sheetView>
  </sheetViews>
  <sheetFormatPr baseColWidth="10" defaultColWidth="9" defaultRowHeight="14.25"/>
  <cols>
    <col min="2" max="2" width="26.875" bestFit="1" customWidth="1"/>
    <col min="3" max="3" width="23.25" customWidth="1"/>
  </cols>
  <sheetData>
    <row r="2" spans="2:3">
      <c r="B2" t="s">
        <v>0</v>
      </c>
      <c r="C2" s="1">
        <v>45658</v>
      </c>
    </row>
    <row r="3" spans="2:3">
      <c r="B3" t="s">
        <v>1</v>
      </c>
      <c r="C3">
        <v>0.03</v>
      </c>
    </row>
    <row r="4" spans="2:3">
      <c r="B4" t="s">
        <v>27</v>
      </c>
      <c r="C4">
        <v>0.01</v>
      </c>
    </row>
    <row r="5" spans="2:3">
      <c r="B5" t="s">
        <v>2</v>
      </c>
      <c r="C5" t="s">
        <v>3</v>
      </c>
    </row>
    <row r="6" spans="2:3">
      <c r="B6" t="s">
        <v>4</v>
      </c>
      <c r="C6" t="s">
        <v>5</v>
      </c>
    </row>
    <row r="7" spans="2:3">
      <c r="B7" t="s">
        <v>6</v>
      </c>
      <c r="C7" t="s">
        <v>7</v>
      </c>
    </row>
    <row r="9" spans="2:3">
      <c r="B9" t="s">
        <v>8</v>
      </c>
      <c r="C9" t="str">
        <f>_xll.qlFlatForward(C2,C3,C5,C6,C7)</f>
        <v>欣[test_termstructures.xlsx]Spreaded YieldTermStructures!R9C3YieldTermStructureHandle,A</v>
      </c>
    </row>
    <row r="11" spans="2:3">
      <c r="B11" t="s">
        <v>28</v>
      </c>
      <c r="C11" t="str">
        <f t="array" ref="C11">_xll.qlZeroSpreadedTermStructure(C9,C4,C6,C7,C5)</f>
        <v>欣[test_termstructures.xlsx]Spreaded YieldTermStructures!R11C3YieldTermStructureHandle,A</v>
      </c>
    </row>
    <row r="12" spans="2:3">
      <c r="B12" t="s">
        <v>22</v>
      </c>
      <c r="C12">
        <f t="array" ref="C12">_xll.qlYieldTermStructureZeroRate(C11,$C$2+365,$C$5,$C$6,$C$7)</f>
        <v>4.0000000000000036E-2</v>
      </c>
    </row>
    <row r="14" spans="2:3">
      <c r="B14" t="s">
        <v>29</v>
      </c>
      <c r="C14" t="str">
        <f t="array" ref="C14">_xll.qlForwardSpreadedTermStructure(C9,C4)</f>
        <v>欣[test_termstructures.xlsx]Spreaded YieldTermStructures!R14C3YieldTermStructureHandle,A</v>
      </c>
    </row>
    <row r="15" spans="2:3">
      <c r="B15" t="s">
        <v>22</v>
      </c>
      <c r="C15">
        <f t="array" ref="C15">_xll.qlYieldTermStructureZeroRate(C14,C2+365,C5,C6,C7)</f>
        <v>4.0351672096692992E-2</v>
      </c>
    </row>
    <row r="17" spans="2:3">
      <c r="B17" t="s">
        <v>30</v>
      </c>
      <c r="C17" t="str">
        <f>_xll.qlFlatForward(C2,C4,C5,C6,C7)</f>
        <v>欣[test_termstructures.xlsx]Spreaded YieldTermStructures!R17C3YieldTermStructureHandle,A</v>
      </c>
    </row>
    <row r="19" spans="2:3">
      <c r="B19" t="s">
        <v>31</v>
      </c>
      <c r="C19" t="str">
        <f t="array" ref="C19">_xll.qlCompositeZeroYieldStructure(C9,C17,"+")</f>
        <v>欣[test_termstructures.xlsx]Spreaded YieldTermStructures!R19C3YieldTermStructureHandle,A</v>
      </c>
    </row>
    <row r="20" spans="2:3">
      <c r="B20" t="s">
        <v>22</v>
      </c>
      <c r="C20">
        <f t="array" ref="C20">_xll.qlYieldTermStructureZeroRate(C19,$C$2+365,$C$5,$C$6,$C$7)</f>
        <v>4.0300000000000002E-2</v>
      </c>
    </row>
    <row r="22" spans="2:3">
      <c r="B22" t="s">
        <v>31</v>
      </c>
      <c r="C22" t="str">
        <f t="array" ref="C22">_xll.qlCompositeZeroYieldStructure(C9,C17,"-")</f>
        <v>欣[test_termstructures.xlsx]Spreaded YieldTermStructures!R22C3YieldTermStructureHandle,A</v>
      </c>
    </row>
    <row r="23" spans="2:3">
      <c r="B23" t="s">
        <v>22</v>
      </c>
      <c r="C23">
        <f t="array" ref="C23">_xll.qlYieldTermStructureZeroRate(C22,$C$2+365,$C$5,$C$6,$C$7)</f>
        <v>1.980198019801982E-2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YieldTermStructure</vt:lpstr>
      <vt:lpstr>Spreaded YieldTermStructures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2026-05-23T19:17:01Z</dcterms:created>
  <dcterms:modified xsi:type="dcterms:W3CDTF">2026-09-10T13:13:25Z</dcterms:modified>
</cp:coreProperties>
</file>