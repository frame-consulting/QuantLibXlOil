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49B74D59-AA4D-4FBB-9FFB-C0A433F50908}" xr6:coauthVersionLast="47" xr6:coauthVersionMax="47" xr10:uidLastSave="{00000000-0000-0000-0000-000000000000}"/>
  <bookViews>
    <workbookView xWindow="-120" yWindow="-120" windowWidth="29040" windowHeight="15720" xr2:uid="{93E3CEBE-2A7E-45F9-A944-9E4960940BAD}"/>
  </bookViews>
  <sheets>
    <sheet name="types" sheetId="1" r:id="rId1"/>
    <sheet name="functions" sheetId="2" r:id="rId2"/>
    <sheet name="addremove_holidays" sheetId="6" r:id="rId3"/>
    <sheet name="adjust_advance" sheetId="7" r:id="rId4"/>
    <sheet name="jointCalendar" sheetId="8" r:id="rId5"/>
    <sheet name="bespokeCalendar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" i="1" l="1"/>
  <c r="C46" i="1"/>
  <c r="C44" i="1"/>
  <c r="C43" i="1"/>
  <c r="C39" i="1"/>
  <c r="C38" i="1"/>
  <c r="C33" i="1"/>
  <c r="C30" i="1"/>
  <c r="C31" i="1"/>
  <c r="C29" i="1"/>
  <c r="C20" i="1"/>
  <c r="C21" i="1"/>
  <c r="C22" i="1"/>
  <c r="C18" i="1"/>
  <c r="C12" i="1"/>
  <c r="C9" i="1"/>
  <c r="C7" i="1"/>
  <c r="B1" i="7"/>
  <c r="C60" i="1"/>
  <c r="C49" i="1"/>
  <c r="C57" i="1"/>
  <c r="C41" i="1"/>
  <c r="C25" i="1"/>
  <c r="B2" i="8"/>
  <c r="C53" i="1"/>
  <c r="B10" i="7"/>
  <c r="C70" i="1"/>
  <c r="C37" i="1"/>
  <c r="C6" i="1"/>
  <c r="C28" i="1"/>
  <c r="C59" i="1"/>
  <c r="C4" i="1"/>
  <c r="C56" i="1"/>
  <c r="C15" i="1"/>
  <c r="B1" i="2"/>
  <c r="E5" i="2"/>
  <c r="B1" i="6"/>
  <c r="C2" i="1"/>
  <c r="C63" i="1"/>
  <c r="C47" i="1"/>
  <c r="C50" i="1"/>
  <c r="C40" i="1"/>
  <c r="C64" i="1"/>
  <c r="C32" i="1"/>
  <c r="B1" i="8"/>
  <c r="B14" i="2"/>
  <c r="B2" i="9" a="1"/>
  <c r="C8" i="1"/>
  <c r="C27" i="1"/>
  <c r="E6" i="2"/>
  <c r="C17" i="1"/>
  <c r="B10" i="2"/>
  <c r="B9" i="7"/>
  <c r="B8" i="7"/>
  <c r="B15" i="2"/>
  <c r="C24" i="1"/>
  <c r="B5" i="8" a="1"/>
  <c r="C65" i="1"/>
  <c r="C58" i="1"/>
  <c r="C55" i="1"/>
  <c r="C36" i="1"/>
  <c r="C16" i="1"/>
  <c r="C19" i="1"/>
  <c r="C23" i="1"/>
  <c r="C51" i="1"/>
  <c r="C35" i="1"/>
  <c r="B3" i="8" a="1"/>
  <c r="C14" i="1"/>
  <c r="C66" i="1"/>
  <c r="C42" i="1"/>
  <c r="C13" i="1"/>
  <c r="B3" i="2"/>
  <c r="B7" i="2" s="1"/>
  <c r="B8" i="2"/>
  <c r="B6" i="6"/>
  <c r="B8" i="6" s="1"/>
  <c r="C52" i="1"/>
  <c r="C5" i="1"/>
  <c r="C69" i="1"/>
  <c r="C48" i="1"/>
  <c r="C10" i="1"/>
  <c r="C11" i="1"/>
  <c r="B7" i="8"/>
  <c r="C72" i="1"/>
  <c r="C26" i="1"/>
  <c r="C61" i="1"/>
  <c r="B9" i="2"/>
  <c r="C34" i="1"/>
  <c r="C3" i="1"/>
  <c r="B4" i="8" a="1"/>
  <c r="B14" i="6" a="1"/>
  <c r="C62" i="1"/>
  <c r="C45" i="1"/>
  <c r="C71" i="1"/>
  <c r="B16" i="2"/>
  <c r="B13" i="2"/>
  <c r="B12" i="2"/>
  <c r="B11" i="2"/>
  <c r="B18" i="2"/>
  <c r="B19" i="2"/>
  <c r="B13" i="8" a="1"/>
  <c r="B15" i="8" a="1"/>
  <c r="B15" i="8" l="1"/>
  <c r="B13" i="8"/>
  <c r="B14" i="6"/>
  <c r="B4" i="8"/>
  <c r="B3" i="8"/>
  <c r="B5" i="8"/>
  <c r="B2" i="9"/>
  <c r="B9" i="6"/>
  <c r="B11" i="6" s="1"/>
  <c r="B9" i="8" a="1"/>
  <c r="B10" i="8" a="1"/>
  <c r="B8" i="8"/>
  <c r="B4" i="9" a="1"/>
  <c r="B12" i="6"/>
  <c r="B15" i="6" a="1"/>
  <c r="B15" i="6" l="1"/>
  <c r="B4" i="9"/>
  <c r="B10" i="8"/>
  <c r="B9" i="8"/>
  <c r="B6" i="9" a="1"/>
  <c r="B17" i="6"/>
  <c r="B18" i="6"/>
  <c r="B20" i="6" a="1"/>
  <c r="B21" i="6" a="1"/>
  <c r="B21" i="6" l="1"/>
  <c r="B20" i="6"/>
  <c r="B6" i="9"/>
  <c r="B8" i="9" a="1"/>
  <c r="B8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<sst xmlns="http://schemas.openxmlformats.org/spreadsheetml/2006/main" count="143" uniqueCount="117">
  <si>
    <t>ARGENTINA</t>
  </si>
  <si>
    <t>AUSTRALIA</t>
  </si>
  <si>
    <t>AUSTRIA</t>
  </si>
  <si>
    <t>BOTSWANA</t>
  </si>
  <si>
    <t>BRAZIL</t>
  </si>
  <si>
    <t>CANADA</t>
  </si>
  <si>
    <t>CHILE</t>
  </si>
  <si>
    <t>CHINA</t>
  </si>
  <si>
    <t>CZECHREPUBLIC</t>
  </si>
  <si>
    <t>DENMARK</t>
  </si>
  <si>
    <t>FINLAND</t>
  </si>
  <si>
    <t>FRANCE</t>
  </si>
  <si>
    <t>GERMANY</t>
  </si>
  <si>
    <t>HONGKONG</t>
  </si>
  <si>
    <t>HUNGARY</t>
  </si>
  <si>
    <t>ICELAND</t>
  </si>
  <si>
    <t>INDIA</t>
  </si>
  <si>
    <t>INDONESIA</t>
  </si>
  <si>
    <t>ISRAEL</t>
  </si>
  <si>
    <t>ITALY</t>
  </si>
  <si>
    <t>JAPAN</t>
  </si>
  <si>
    <t>MEXICO</t>
  </si>
  <si>
    <t>NEWZEALAND</t>
  </si>
  <si>
    <t>NORWAY</t>
  </si>
  <si>
    <t>POLAND</t>
  </si>
  <si>
    <t>ROMANIA</t>
  </si>
  <si>
    <t>RUSSIA</t>
  </si>
  <si>
    <t>SAUDIARABIA</t>
  </si>
  <si>
    <t>SINGAPORE</t>
  </si>
  <si>
    <t>SLOVAKIA</t>
  </si>
  <si>
    <t>SOUTHAFRICA</t>
  </si>
  <si>
    <t>SOUTHKOREA</t>
  </si>
  <si>
    <t>SWEDEN</t>
  </si>
  <si>
    <t>SWITZERLAND</t>
  </si>
  <si>
    <t>TAIWAN</t>
  </si>
  <si>
    <t>TARGET</t>
  </si>
  <si>
    <t>THAILAND</t>
  </si>
  <si>
    <t>TURKEY</t>
  </si>
  <si>
    <t>UKRAINE</t>
  </si>
  <si>
    <t>UNITEDSTATES</t>
  </si>
  <si>
    <t>UNITEDKINGDOM</t>
  </si>
  <si>
    <t>NULLCALENDAR</t>
  </si>
  <si>
    <t>WEEKENDSONLY</t>
  </si>
  <si>
    <t>qlCalendarisWeekend</t>
  </si>
  <si>
    <t>qlCalendarStartOfMonth</t>
  </si>
  <si>
    <t>qlCalendarEndOfMonth</t>
  </si>
  <si>
    <t>qlCalendarIsBusinessDay</t>
  </si>
  <si>
    <t>qlCalendarIsHoliday</t>
  </si>
  <si>
    <t>qlCalendarIsEndOfMonth</t>
  </si>
  <si>
    <t>qlCalendarIsStartOfMonth</t>
  </si>
  <si>
    <t>qlCalendarAddHoliday</t>
  </si>
  <si>
    <t>qlCalendarRemoveHoliday</t>
  </si>
  <si>
    <t>qlCalendarResetAddedAndRemovedHolidays</t>
  </si>
  <si>
    <t>qlCalendarBusinessDaysBetween</t>
  </si>
  <si>
    <t>qlCalendarHolidayList</t>
  </si>
  <si>
    <t>qlCalendarBusinessDayList</t>
  </si>
  <si>
    <t>qlCalendarName</t>
  </si>
  <si>
    <t>qlCalendarEmpty</t>
  </si>
  <si>
    <t>qlCalendar</t>
  </si>
  <si>
    <t>date_start</t>
  </si>
  <si>
    <t>date_end</t>
  </si>
  <si>
    <t>date</t>
  </si>
  <si>
    <t>date (add)</t>
  </si>
  <si>
    <t>date (remove)</t>
  </si>
  <si>
    <t>qlWeekday</t>
  </si>
  <si>
    <t>Following</t>
  </si>
  <si>
    <t># of time_units</t>
  </si>
  <si>
    <t>time_unit</t>
  </si>
  <si>
    <t>period</t>
  </si>
  <si>
    <t>3M</t>
  </si>
  <si>
    <t>DAYS</t>
  </si>
  <si>
    <t>qlCalendarAdjust</t>
  </si>
  <si>
    <t>qlCalendarAdvance</t>
  </si>
  <si>
    <t>businessday_convention</t>
  </si>
  <si>
    <t>calender_rule</t>
  </si>
  <si>
    <t>qlCalender</t>
  </si>
  <si>
    <t>UK_SETTLEMENT</t>
  </si>
  <si>
    <t>US_SETTLEMENT</t>
  </si>
  <si>
    <t>US_FEDERALRESERVE</t>
  </si>
  <si>
    <t>US_SOFR</t>
  </si>
  <si>
    <t>qlCalendarJointCalendar</t>
  </si>
  <si>
    <t>qlCalendarJointCalendar2</t>
  </si>
  <si>
    <t>qlCalendarJointCalendar3</t>
  </si>
  <si>
    <t>qlCalendarJointCalendarN</t>
  </si>
  <si>
    <t>name</t>
  </si>
  <si>
    <t>qlBespokeCalendar</t>
  </si>
  <si>
    <t>TestCalendar</t>
  </si>
  <si>
    <t>qlBespokeCalendarAddWeekend</t>
  </si>
  <si>
    <t>weekday</t>
  </si>
  <si>
    <t>SATURDAY</t>
  </si>
  <si>
    <t>SUNDAY</t>
  </si>
  <si>
    <t>Monday</t>
  </si>
  <si>
    <t>JOINHOLIDAYS</t>
  </si>
  <si>
    <t>CROATIA</t>
  </si>
  <si>
    <t>MALTA</t>
  </si>
  <si>
    <t>MONTENEGRO</t>
  </si>
  <si>
    <t>NORTHMACEDONIA</t>
  </si>
  <si>
    <t>SERBIA</t>
  </si>
  <si>
    <t>SLOVENIA</t>
  </si>
  <si>
    <t>UZBEKISTAN</t>
  </si>
  <si>
    <t>qlCalendarAddedHolidays</t>
  </si>
  <si>
    <t>qlCalendarRemovedHolidays</t>
  </si>
  <si>
    <t>BRAZIL_EXCHANGE</t>
  </si>
  <si>
    <t>CANADA_TSX</t>
  </si>
  <si>
    <t>CHINA_IB</t>
  </si>
  <si>
    <t>FRANCE_EXCHANGE</t>
  </si>
  <si>
    <t>GERMANY_SETTLEMENT</t>
  </si>
  <si>
    <t>GERMANY_EUREX</t>
  </si>
  <si>
    <t>GERMANY_XETRA</t>
  </si>
  <si>
    <t>ISRAEL_TELBOR</t>
  </si>
  <si>
    <t>ISRAEL_SHIR</t>
  </si>
  <si>
    <t>ISRAEL_TASE</t>
  </si>
  <si>
    <t>ITALY_EXCHANGE</t>
  </si>
  <si>
    <t>NEWZEALAND_AUCKLAND</t>
  </si>
  <si>
    <t>POLAND_WSE</t>
  </si>
  <si>
    <t>RUSSIA_MOEX</t>
  </si>
  <si>
    <t>SOUTHKOREA_SETTLEMENT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</si>
</sst>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420B-A904-48C0-8CC0-21FB5C882A54}">
  <dimension ref="A2:C72"/>
  <sheetViews>
    <sheetView tabSelected="1" workbookViewId="0"/>
  </sheetViews>
  <sheetFormatPr baseColWidth="10" defaultColWidth="11.5703125" defaultRowHeight="15" x14ac:dyDescent="0.25"/>
  <cols>
    <col min="1" max="1" width="11.5703125" style="2"/>
    <col min="2" max="2" width="37.140625" customWidth="1"/>
    <col min="3" max="3" width="27" customWidth="1"/>
    <col min="4" max="4" width="33.7109375" customWidth="1"/>
  </cols>
  <sheetData>
    <row r="2" spans="2:3" x14ac:dyDescent="0.25">
      <c r="B2" t="s">
        <v>0</v>
      </c>
      <c r="C2" t="str">
        <f>_xll.qlCalendar(B2)</f>
        <v>Buenos Aires stock exchange</v>
      </c>
    </row>
    <row r="3" spans="2:3" x14ac:dyDescent="0.25">
      <c r="B3" t="s">
        <v>1</v>
      </c>
      <c r="C3" t="str">
        <f>_xll.qlCalendar(B3)</f>
        <v>Australia settlement</v>
      </c>
    </row>
    <row r="4" spans="2:3" x14ac:dyDescent="0.25">
      <c r="B4" t="s">
        <v>2</v>
      </c>
      <c r="C4" t="str">
        <f>_xll.qlCalendar(B4)</f>
        <v>Austrian settlement</v>
      </c>
    </row>
    <row r="5" spans="2:3" x14ac:dyDescent="0.25">
      <c r="B5" t="s">
        <v>3</v>
      </c>
      <c r="C5" t="str">
        <f>_xll.qlCalendar(B5)</f>
        <v>Botswana</v>
      </c>
    </row>
    <row r="6" spans="2:3" x14ac:dyDescent="0.25">
      <c r="B6" t="s">
        <v>4</v>
      </c>
      <c r="C6" t="str">
        <f>_xll.qlCalendar(B6)</f>
        <v>Brazil</v>
      </c>
    </row>
    <row r="7" spans="2:3" x14ac:dyDescent="0.25">
      <c r="B7" t="s">
        <v>102</v>
      </c>
      <c r="C7" t="str">
        <f>_xll.qlCalendar(B7)</f>
        <v>BOVESPA</v>
      </c>
    </row>
    <row r="8" spans="2:3" x14ac:dyDescent="0.25">
      <c r="B8" t="s">
        <v>5</v>
      </c>
      <c r="C8" t="str">
        <f>_xll.qlCalendar(B8)</f>
        <v>Canada</v>
      </c>
    </row>
    <row r="9" spans="2:3" x14ac:dyDescent="0.25">
      <c r="B9" t="s">
        <v>103</v>
      </c>
      <c r="C9" t="str">
        <f>_xll.qlCalendar(B9)</f>
        <v>TSX</v>
      </c>
    </row>
    <row r="10" spans="2:3" x14ac:dyDescent="0.25">
      <c r="B10" t="s">
        <v>6</v>
      </c>
      <c r="C10" t="str">
        <f>_xll.qlCalendar(B10)</f>
        <v>Santiago Stock Exchange</v>
      </c>
    </row>
    <row r="11" spans="2:3" x14ac:dyDescent="0.25">
      <c r="B11" t="s">
        <v>7</v>
      </c>
      <c r="C11" t="str">
        <f>_xll.qlCalendar(B11)</f>
        <v>Shanghai stock exchange</v>
      </c>
    </row>
    <row r="12" spans="2:3" x14ac:dyDescent="0.25">
      <c r="B12" t="s">
        <v>104</v>
      </c>
      <c r="C12" t="str">
        <f>_xll.qlCalendar(B12)</f>
        <v>China inter bank market</v>
      </c>
    </row>
    <row r="13" spans="2:3" x14ac:dyDescent="0.25">
      <c r="B13" t="s">
        <v>8</v>
      </c>
      <c r="C13" t="str">
        <f>_xll.qlCalendar(B13)</f>
        <v>Prague stock exchange</v>
      </c>
    </row>
    <row r="14" spans="2:3" x14ac:dyDescent="0.25">
      <c r="B14" t="s">
        <v>93</v>
      </c>
      <c r="C14" t="str">
        <f>_xll.qlCalendar(B14)</f>
        <v>Zagreb stock exchange</v>
      </c>
    </row>
    <row r="15" spans="2:3" x14ac:dyDescent="0.25">
      <c r="B15" t="s">
        <v>9</v>
      </c>
      <c r="C15" t="str">
        <f>_xll.qlCalendar(B15)</f>
        <v>Denmark</v>
      </c>
    </row>
    <row r="16" spans="2:3" x14ac:dyDescent="0.25">
      <c r="B16" t="s">
        <v>10</v>
      </c>
      <c r="C16" t="str">
        <f>_xll.qlCalendar(B16)</f>
        <v>Finland</v>
      </c>
    </row>
    <row r="17" spans="2:3" x14ac:dyDescent="0.25">
      <c r="B17" t="s">
        <v>11</v>
      </c>
      <c r="C17" t="str">
        <f>_xll.qlCalendar(B17)</f>
        <v>French settlement</v>
      </c>
    </row>
    <row r="18" spans="2:3" x14ac:dyDescent="0.25">
      <c r="B18" t="s">
        <v>105</v>
      </c>
      <c r="C18" t="str">
        <f>_xll.qlCalendar(B18)</f>
        <v>Paris stock exchange</v>
      </c>
    </row>
    <row r="19" spans="2:3" x14ac:dyDescent="0.25">
      <c r="B19" t="s">
        <v>12</v>
      </c>
      <c r="C19" t="str">
        <f>_xll.qlCalendar(B19)</f>
        <v>Frankfurt stock exchange</v>
      </c>
    </row>
    <row r="20" spans="2:3" x14ac:dyDescent="0.25">
      <c r="B20" t="s">
        <v>106</v>
      </c>
      <c r="C20" t="str">
        <f>_xll.qlCalendar(B20)</f>
        <v>German settlement</v>
      </c>
    </row>
    <row r="21" spans="2:3" x14ac:dyDescent="0.25">
      <c r="B21" t="s">
        <v>107</v>
      </c>
      <c r="C21" t="str">
        <f>_xll.qlCalendar(B21)</f>
        <v>Eurex</v>
      </c>
    </row>
    <row r="22" spans="2:3" x14ac:dyDescent="0.25">
      <c r="B22" t="s">
        <v>108</v>
      </c>
      <c r="C22" t="str">
        <f>_xll.qlCalendar(B22)</f>
        <v>Xetra</v>
      </c>
    </row>
    <row r="23" spans="2:3" x14ac:dyDescent="0.25">
      <c r="B23" t="s">
        <v>13</v>
      </c>
      <c r="C23" t="str">
        <f>_xll.qlCalendar(B23)</f>
        <v>Hong Kong stock exchange</v>
      </c>
    </row>
    <row r="24" spans="2:3" x14ac:dyDescent="0.25">
      <c r="B24" t="s">
        <v>14</v>
      </c>
      <c r="C24" t="str">
        <f>_xll.qlCalendar(B24)</f>
        <v>Hungary</v>
      </c>
    </row>
    <row r="25" spans="2:3" x14ac:dyDescent="0.25">
      <c r="B25" t="s">
        <v>15</v>
      </c>
      <c r="C25" t="str">
        <f>_xll.qlCalendar(B25)</f>
        <v>Iceland stock exchange</v>
      </c>
    </row>
    <row r="26" spans="2:3" x14ac:dyDescent="0.25">
      <c r="B26" t="s">
        <v>16</v>
      </c>
      <c r="C26" t="str">
        <f>_xll.qlCalendar(B26)</f>
        <v>National Stock Exchange of India</v>
      </c>
    </row>
    <row r="27" spans="2:3" x14ac:dyDescent="0.25">
      <c r="B27" t="s">
        <v>17</v>
      </c>
      <c r="C27" t="str">
        <f>_xll.qlCalendar(B27)</f>
        <v>Jakarta stock exchange</v>
      </c>
    </row>
    <row r="28" spans="2:3" x14ac:dyDescent="0.25">
      <c r="B28" t="s">
        <v>18</v>
      </c>
      <c r="C28" t="str">
        <f>_xll.qlCalendar(B28)</f>
        <v>Tel Aviv stock exchange</v>
      </c>
    </row>
    <row r="29" spans="2:3" x14ac:dyDescent="0.25">
      <c r="B29" t="s">
        <v>111</v>
      </c>
      <c r="C29" t="str">
        <f>_xll.qlCalendar(B29)</f>
        <v>Tel Aviv stock exchange</v>
      </c>
    </row>
    <row r="30" spans="2:3" x14ac:dyDescent="0.25">
      <c r="B30" t="s">
        <v>110</v>
      </c>
      <c r="C30" t="str">
        <f>_xll.qlCalendar(B30)</f>
        <v>SHIR fixing calendar</v>
      </c>
    </row>
    <row r="31" spans="2:3" x14ac:dyDescent="0.25">
      <c r="B31" t="s">
        <v>109</v>
      </c>
      <c r="C31" t="str">
        <f>_xll.qlCalendar(B31)</f>
        <v>Telbor fixing calendar</v>
      </c>
    </row>
    <row r="32" spans="2:3" x14ac:dyDescent="0.25">
      <c r="B32" t="s">
        <v>19</v>
      </c>
      <c r="C32" t="str">
        <f>_xll.qlCalendar(B32)</f>
        <v>Italian settlement</v>
      </c>
    </row>
    <row r="33" spans="2:3" x14ac:dyDescent="0.25">
      <c r="B33" t="s">
        <v>112</v>
      </c>
      <c r="C33" t="str">
        <f>_xll.qlCalendar(B33)</f>
        <v>Milan stock exchange</v>
      </c>
    </row>
    <row r="34" spans="2:3" x14ac:dyDescent="0.25">
      <c r="B34" t="s">
        <v>20</v>
      </c>
      <c r="C34" t="str">
        <f>_xll.qlCalendar(B34)</f>
        <v>Japan</v>
      </c>
    </row>
    <row r="35" spans="2:3" x14ac:dyDescent="0.25">
      <c r="B35" t="s">
        <v>94</v>
      </c>
      <c r="C35" t="str">
        <f>_xll.qlCalendar(B35)</f>
        <v>Malta Stock Exchange</v>
      </c>
    </row>
    <row r="36" spans="2:3" x14ac:dyDescent="0.25">
      <c r="B36" t="s">
        <v>21</v>
      </c>
      <c r="C36" t="str">
        <f>_xll.qlCalendar(B36)</f>
        <v>Mexican stock exchange</v>
      </c>
    </row>
    <row r="37" spans="2:3" x14ac:dyDescent="0.25">
      <c r="B37" t="s">
        <v>95</v>
      </c>
      <c r="C37" t="str">
        <f>_xll.qlCalendar(B37)</f>
        <v>Montenegro Stock Exchange</v>
      </c>
    </row>
    <row r="38" spans="2:3" x14ac:dyDescent="0.25">
      <c r="B38" t="s">
        <v>22</v>
      </c>
      <c r="C38" t="str">
        <f>_xll.qlCalendar(B38)</f>
        <v>New Zealand (Wellington)</v>
      </c>
    </row>
    <row r="39" spans="2:3" x14ac:dyDescent="0.25">
      <c r="B39" t="s">
        <v>113</v>
      </c>
      <c r="C39" t="str">
        <f>_xll.qlCalendar(B39)</f>
        <v>New Zealand (Auckland)</v>
      </c>
    </row>
    <row r="40" spans="2:3" x14ac:dyDescent="0.25">
      <c r="B40" t="s">
        <v>96</v>
      </c>
      <c r="C40" t="str">
        <f>_xll.qlCalendar(B40)</f>
        <v>Macedonian Stock Exchange</v>
      </c>
    </row>
    <row r="41" spans="2:3" x14ac:dyDescent="0.25">
      <c r="B41" t="s">
        <v>23</v>
      </c>
      <c r="C41" t="str">
        <f>_xll.qlCalendar(B41)</f>
        <v>Norway</v>
      </c>
    </row>
    <row r="42" spans="2:3" x14ac:dyDescent="0.25">
      <c r="B42" t="s">
        <v>24</v>
      </c>
      <c r="C42" t="str">
        <f>_xll.qlCalendar(B42)</f>
        <v>Poland Settlement</v>
      </c>
    </row>
    <row r="43" spans="2:3" x14ac:dyDescent="0.25">
      <c r="B43" t="s">
        <v>114</v>
      </c>
      <c r="C43" t="str">
        <f>_xll.qlCalendar(B43)</f>
        <v>Warsaw stock exchange</v>
      </c>
    </row>
    <row r="44" spans="2:3" x14ac:dyDescent="0.25">
      <c r="B44" t="s">
        <v>25</v>
      </c>
      <c r="C44" t="str">
        <f>_xll.qlCalendar(B44)</f>
        <v>Bucharest stock exchange</v>
      </c>
    </row>
    <row r="45" spans="2:3" x14ac:dyDescent="0.25">
      <c r="B45" t="s">
        <v>26</v>
      </c>
      <c r="C45" t="str">
        <f>_xll.qlCalendar(B45)</f>
        <v>Russian settlement</v>
      </c>
    </row>
    <row r="46" spans="2:3" x14ac:dyDescent="0.25">
      <c r="B46" t="s">
        <v>115</v>
      </c>
      <c r="C46" t="str">
        <f>_xll.qlCalendar(B46)</f>
        <v>Moscow exchange</v>
      </c>
    </row>
    <row r="47" spans="2:3" x14ac:dyDescent="0.25">
      <c r="B47" t="s">
        <v>27</v>
      </c>
      <c r="C47" t="str">
        <f>_xll.qlCalendar(B47)</f>
        <v>Tadawul</v>
      </c>
    </row>
    <row r="48" spans="2:3" x14ac:dyDescent="0.25">
      <c r="B48" t="s">
        <v>97</v>
      </c>
      <c r="C48" t="str">
        <f>_xll.qlCalendar(B48)</f>
        <v>Belgrade stock exchange</v>
      </c>
    </row>
    <row r="49" spans="2:3" x14ac:dyDescent="0.25">
      <c r="B49" t="s">
        <v>28</v>
      </c>
      <c r="C49" t="str">
        <f>_xll.qlCalendar(B49)</f>
        <v>Singapore exchange</v>
      </c>
    </row>
    <row r="50" spans="2:3" x14ac:dyDescent="0.25">
      <c r="B50" t="s">
        <v>29</v>
      </c>
      <c r="C50" t="str">
        <f>_xll.qlCalendar(B50)</f>
        <v>Bratislava stock exchange</v>
      </c>
    </row>
    <row r="51" spans="2:3" x14ac:dyDescent="0.25">
      <c r="B51" t="s">
        <v>98</v>
      </c>
      <c r="C51" t="str">
        <f>_xll.qlCalendar(B51)</f>
        <v>Ljubljana stock exchange</v>
      </c>
    </row>
    <row r="52" spans="2:3" x14ac:dyDescent="0.25">
      <c r="B52" t="s">
        <v>30</v>
      </c>
      <c r="C52" t="str">
        <f>_xll.qlCalendar(B52)</f>
        <v>South Africa</v>
      </c>
    </row>
    <row r="53" spans="2:3" x14ac:dyDescent="0.25">
      <c r="B53" t="s">
        <v>31</v>
      </c>
      <c r="C53" t="str">
        <f>_xll.qlCalendar(B53)</f>
        <v>South-Korea exchange</v>
      </c>
    </row>
    <row r="54" spans="2:3" x14ac:dyDescent="0.25">
      <c r="B54" t="s">
        <v>116</v>
      </c>
      <c r="C54" t="str">
        <f>_xll.qlCalendar(B54)</f>
        <v>South-Korean settlement</v>
      </c>
    </row>
    <row r="55" spans="2:3" x14ac:dyDescent="0.25">
      <c r="B55" t="s">
        <v>32</v>
      </c>
      <c r="C55" t="str">
        <f>_xll.qlCalendar(B55)</f>
        <v>Sweden</v>
      </c>
    </row>
    <row r="56" spans="2:3" x14ac:dyDescent="0.25">
      <c r="B56" t="s">
        <v>33</v>
      </c>
      <c r="C56" t="str">
        <f>_xll.qlCalendar(B56)</f>
        <v>Switzerland</v>
      </c>
    </row>
    <row r="57" spans="2:3" x14ac:dyDescent="0.25">
      <c r="B57" t="s">
        <v>34</v>
      </c>
      <c r="C57" t="str">
        <f>_xll.qlCalendar(B57)</f>
        <v>Taiwan stock exchange</v>
      </c>
    </row>
    <row r="58" spans="2:3" x14ac:dyDescent="0.25">
      <c r="B58" t="s">
        <v>35</v>
      </c>
      <c r="C58" t="str">
        <f>_xll.qlCalendar(B58)</f>
        <v>TARGET</v>
      </c>
    </row>
    <row r="59" spans="2:3" x14ac:dyDescent="0.25">
      <c r="B59" t="s">
        <v>36</v>
      </c>
      <c r="C59" t="str">
        <f>_xll.qlCalendar(B59)</f>
        <v>Thailand stock exchange</v>
      </c>
    </row>
    <row r="60" spans="2:3" x14ac:dyDescent="0.25">
      <c r="B60" t="s">
        <v>37</v>
      </c>
      <c r="C60" t="str">
        <f>_xll.qlCalendar(B60)</f>
        <v>Turkey</v>
      </c>
    </row>
    <row r="61" spans="2:3" x14ac:dyDescent="0.25">
      <c r="B61" t="s">
        <v>38</v>
      </c>
      <c r="C61" t="str">
        <f>_xll.qlCalendar(B61)</f>
        <v>Ukrainian stock exchange</v>
      </c>
    </row>
    <row r="62" spans="2:3" x14ac:dyDescent="0.25">
      <c r="B62" s="2" t="s">
        <v>39</v>
      </c>
      <c r="C62" t="str">
        <f>_xll.qlCalendar(B62)</f>
        <v>New York stock exchange</v>
      </c>
    </row>
    <row r="63" spans="2:3" x14ac:dyDescent="0.25">
      <c r="B63" t="s">
        <v>40</v>
      </c>
      <c r="C63" t="str">
        <f>_xll.qlCalendar(B63)</f>
        <v>UK settlement</v>
      </c>
    </row>
    <row r="64" spans="2:3" x14ac:dyDescent="0.25">
      <c r="B64" t="s">
        <v>99</v>
      </c>
      <c r="C64" t="str">
        <f>_xll.qlCalendar(B64)</f>
        <v>Uzbekistan Stock Exchange</v>
      </c>
    </row>
    <row r="65" spans="2:3" x14ac:dyDescent="0.25">
      <c r="B65" t="s">
        <v>41</v>
      </c>
      <c r="C65" t="str">
        <f>_xll.qlCalendar(B65)</f>
        <v>Null</v>
      </c>
    </row>
    <row r="66" spans="2:3" x14ac:dyDescent="0.25">
      <c r="B66" t="s">
        <v>42</v>
      </c>
      <c r="C66" t="str">
        <f>_xll.qlCalendar(B66)</f>
        <v>weekends only</v>
      </c>
    </row>
    <row r="69" spans="2:3" x14ac:dyDescent="0.25">
      <c r="B69" t="s">
        <v>76</v>
      </c>
      <c r="C69" t="str">
        <f>_xll.qlCalendar(B69)</f>
        <v>UK settlement</v>
      </c>
    </row>
    <row r="70" spans="2:3" x14ac:dyDescent="0.25">
      <c r="B70" t="s">
        <v>77</v>
      </c>
      <c r="C70" t="str">
        <f>_xll.qlCalendar(B70)</f>
        <v>US settlement</v>
      </c>
    </row>
    <row r="71" spans="2:3" x14ac:dyDescent="0.25">
      <c r="B71" t="s">
        <v>78</v>
      </c>
      <c r="C71" t="str">
        <f>_xll.qlCalendar(B71)</f>
        <v>Federal Reserve Bankwire System</v>
      </c>
    </row>
    <row r="72" spans="2:3" x14ac:dyDescent="0.25">
      <c r="B72" t="s">
        <v>79</v>
      </c>
      <c r="C72" t="str">
        <f>_xll.qlCalendar(B72)</f>
        <v>SOFR fixing calendar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0488-5007-411C-8F3E-026395460888}">
  <dimension ref="A1:E19"/>
  <sheetViews>
    <sheetView workbookViewId="0">
      <selection activeCell="B20" sqref="B20"/>
    </sheetView>
  </sheetViews>
  <sheetFormatPr baseColWidth="10" defaultColWidth="11.5703125" defaultRowHeight="15" x14ac:dyDescent="0.25"/>
  <cols>
    <col min="1" max="1" width="32.7109375" customWidth="1"/>
    <col min="2" max="2" width="21.5703125" style="4" customWidth="1"/>
  </cols>
  <sheetData>
    <row r="1" spans="1:5" x14ac:dyDescent="0.25">
      <c r="A1" t="s">
        <v>58</v>
      </c>
      <c r="B1" s="4" t="str">
        <f>_xll.qlCalendar("TARGET")</f>
        <v>TARGET</v>
      </c>
    </row>
    <row r="2" spans="1:5" x14ac:dyDescent="0.25">
      <c r="A2" t="s">
        <v>61</v>
      </c>
      <c r="B2" s="5">
        <v>46171</v>
      </c>
    </row>
    <row r="3" spans="1:5" x14ac:dyDescent="0.25">
      <c r="A3" t="s">
        <v>64</v>
      </c>
      <c r="B3" s="4" t="str">
        <f>_xll.qlDateWeekday(B2)</f>
        <v>FRIDAY</v>
      </c>
    </row>
    <row r="4" spans="1:5" x14ac:dyDescent="0.25">
      <c r="A4" t="s">
        <v>59</v>
      </c>
      <c r="B4" s="5">
        <v>46023</v>
      </c>
    </row>
    <row r="5" spans="1:5" x14ac:dyDescent="0.25">
      <c r="A5" t="s">
        <v>60</v>
      </c>
      <c r="B5" s="5">
        <v>46027</v>
      </c>
      <c r="D5" s="1">
        <v>46025</v>
      </c>
      <c r="E5" t="b">
        <f>_xll.qlCalendarIsBusinessDay(B1,D5)</f>
        <v>0</v>
      </c>
    </row>
    <row r="6" spans="1:5" x14ac:dyDescent="0.25">
      <c r="E6" t="b">
        <f>_xll.qlCalendarIsHoliday(B1,D5)</f>
        <v>1</v>
      </c>
    </row>
    <row r="7" spans="1:5" x14ac:dyDescent="0.25">
      <c r="A7" t="s">
        <v>43</v>
      </c>
      <c r="B7" s="4" t="b">
        <f>_xll.qlCalendarisWeekend($B$1,B3)</f>
        <v>0</v>
      </c>
    </row>
    <row r="8" spans="1:5" x14ac:dyDescent="0.25">
      <c r="A8" t="s">
        <v>44</v>
      </c>
      <c r="B8" s="5">
        <f>_xll.qlCalendarStartOfMonth(B1,B2)</f>
        <v>46146</v>
      </c>
    </row>
    <row r="9" spans="1:5" x14ac:dyDescent="0.25">
      <c r="A9" t="s">
        <v>45</v>
      </c>
      <c r="B9" s="5">
        <f>_xll.qlCalendarEndOfMonth(B1,B2)</f>
        <v>46171</v>
      </c>
    </row>
    <row r="10" spans="1:5" x14ac:dyDescent="0.25">
      <c r="A10" t="s">
        <v>46</v>
      </c>
      <c r="B10" s="4" t="b">
        <f>_xll.qlCalendarIsBusinessDay(B1,B2)</f>
        <v>1</v>
      </c>
    </row>
    <row r="11" spans="1:5" x14ac:dyDescent="0.25">
      <c r="A11" t="s">
        <v>47</v>
      </c>
      <c r="B11" s="4" t="b">
        <f>_xll.qlCalendarIsHoliday(B1,B2)</f>
        <v>0</v>
      </c>
    </row>
    <row r="12" spans="1:5" x14ac:dyDescent="0.25">
      <c r="A12" t="s">
        <v>48</v>
      </c>
      <c r="B12" s="4" t="b">
        <f>_xll.qlCalendarIsEndOfMonth(B1,B2)</f>
        <v>1</v>
      </c>
    </row>
    <row r="13" spans="1:5" x14ac:dyDescent="0.25">
      <c r="A13" t="s">
        <v>49</v>
      </c>
      <c r="B13" s="4" t="b">
        <f>_xll.qlCalendarIsStartOfMonth(B1,B2)</f>
        <v>0</v>
      </c>
    </row>
    <row r="14" spans="1:5" x14ac:dyDescent="0.25">
      <c r="A14" t="s">
        <v>53</v>
      </c>
      <c r="B14" s="4">
        <f>_xll.qlCalendarBusinessDaysBetween(B1,B4,B5)</f>
        <v>1</v>
      </c>
    </row>
    <row r="15" spans="1:5" x14ac:dyDescent="0.25">
      <c r="A15" s="2" t="s">
        <v>56</v>
      </c>
      <c r="B15" s="4" t="str">
        <f>_xll.qlCalendarName(B1)</f>
        <v>TARGET</v>
      </c>
    </row>
    <row r="16" spans="1:5" x14ac:dyDescent="0.25">
      <c r="A16" s="2" t="s">
        <v>57</v>
      </c>
      <c r="B16" s="4" t="b">
        <f>_xll.qlCalendarEmpty(B1)</f>
        <v>0</v>
      </c>
    </row>
    <row r="18" spans="1:2" x14ac:dyDescent="0.25">
      <c r="A18" t="s">
        <v>54</v>
      </c>
      <c r="B18" s="5">
        <f>_xll.qlCalendarHolidayList(B1,B4,B5)</f>
        <v>46023</v>
      </c>
    </row>
    <row r="19" spans="1:2" x14ac:dyDescent="0.25">
      <c r="A19" t="s">
        <v>55</v>
      </c>
      <c r="B19" s="5">
        <f>TRANSPOSE(_xll.qlCalendarBusinessDayList(B1,B4,B5))</f>
        <v>46027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9B37-CA87-4E4A-8B76-B839138C7508}">
  <dimension ref="A1:C21"/>
  <sheetViews>
    <sheetView workbookViewId="0">
      <selection activeCell="F10" sqref="F10"/>
    </sheetView>
  </sheetViews>
  <sheetFormatPr baseColWidth="10" defaultColWidth="11.5703125" defaultRowHeight="15" x14ac:dyDescent="0.25"/>
  <cols>
    <col min="1" max="1" width="46.42578125" customWidth="1"/>
  </cols>
  <sheetData>
    <row r="1" spans="1:3" x14ac:dyDescent="0.25">
      <c r="A1" t="s">
        <v>58</v>
      </c>
      <c r="B1" t="str">
        <f>_xll.qlCalendar("TARGET")</f>
        <v>TARGET</v>
      </c>
    </row>
    <row r="2" spans="1:3" x14ac:dyDescent="0.25">
      <c r="A2" t="s">
        <v>62</v>
      </c>
      <c r="B2" s="1">
        <v>46024</v>
      </c>
    </row>
    <row r="3" spans="1:3" x14ac:dyDescent="0.25">
      <c r="A3" t="s">
        <v>63</v>
      </c>
      <c r="B3" s="1">
        <v>46023</v>
      </c>
    </row>
    <row r="4" spans="1:3" x14ac:dyDescent="0.25">
      <c r="A4" t="s">
        <v>59</v>
      </c>
      <c r="B4" s="1">
        <v>46023</v>
      </c>
    </row>
    <row r="5" spans="1:3" x14ac:dyDescent="0.25">
      <c r="A5" t="s">
        <v>60</v>
      </c>
      <c r="B5" s="1">
        <v>46027</v>
      </c>
    </row>
    <row r="6" spans="1:3" x14ac:dyDescent="0.25">
      <c r="A6" t="s">
        <v>54</v>
      </c>
      <c r="B6" s="1">
        <f>_xll.qlCalendarHolidayList(B1,B4,B5,B1)</f>
        <v>46023</v>
      </c>
    </row>
    <row r="8" spans="1:3" x14ac:dyDescent="0.25">
      <c r="A8" t="s">
        <v>50</v>
      </c>
      <c r="B8" t="b">
        <f>_xll.qlCalendarAddHoliday(B1,B2,B6)</f>
        <v>1</v>
      </c>
    </row>
    <row r="9" spans="1:3" x14ac:dyDescent="0.25">
      <c r="A9" t="s">
        <v>54</v>
      </c>
      <c r="B9" s="1">
        <f>TRANSPOSE(_xll.qlCalendarHolidayList(B1,B4,B5,B8))</f>
        <v>46023</v>
      </c>
      <c r="C9" s="1"/>
    </row>
    <row r="10" spans="1:3" x14ac:dyDescent="0.25">
      <c r="B10" s="1"/>
    </row>
    <row r="11" spans="1:3" x14ac:dyDescent="0.25">
      <c r="A11" t="s">
        <v>51</v>
      </c>
      <c r="B11" t="b">
        <f>_xll.qlCalendarRemoveHoliday(B1,B3,B9)</f>
        <v>1</v>
      </c>
    </row>
    <row r="12" spans="1:3" x14ac:dyDescent="0.25">
      <c r="A12" t="s">
        <v>54</v>
      </c>
      <c r="B12" s="1">
        <f>_xll.qlCalendarHolidayList(B1,B4,B5,B11)</f>
        <v>46024</v>
      </c>
    </row>
    <row r="13" spans="1:3" x14ac:dyDescent="0.25">
      <c r="B13" s="1"/>
    </row>
    <row r="14" spans="1:3" x14ac:dyDescent="0.25">
      <c r="A14" t="s">
        <v>100</v>
      </c>
      <c r="B14" s="1" cm="1">
        <f t="array" ref="B14">_xll.qlCalendarAddedHolidays(B1,B8)</f>
        <v>46024</v>
      </c>
    </row>
    <row r="15" spans="1:3" x14ac:dyDescent="0.25">
      <c r="A15" t="s">
        <v>101</v>
      </c>
      <c r="B15" s="1" cm="1">
        <f t="array" ref="B15">_xll.qlCalendarRemovedHolidays(B1,B11)</f>
        <v>46023</v>
      </c>
    </row>
    <row r="16" spans="1:3" x14ac:dyDescent="0.25">
      <c r="B16" s="1"/>
    </row>
    <row r="17" spans="1:2" x14ac:dyDescent="0.25">
      <c r="A17" t="s">
        <v>52</v>
      </c>
      <c r="B17" s="7" t="b">
        <f>_xll.qlCalendarResetAddedAndRemovedHolidays(B1,B15)</f>
        <v>1</v>
      </c>
    </row>
    <row r="18" spans="1:2" x14ac:dyDescent="0.25">
      <c r="A18" t="s">
        <v>54</v>
      </c>
      <c r="B18" s="1">
        <f>_xll.qlCalendarHolidayList(B1,B4,B5,B17)</f>
        <v>46023</v>
      </c>
    </row>
    <row r="19" spans="1:2" x14ac:dyDescent="0.25">
      <c r="B19" s="1"/>
    </row>
    <row r="20" spans="1:2" x14ac:dyDescent="0.25">
      <c r="A20" t="s">
        <v>100</v>
      </c>
      <c r="B20" s="1" cm="1">
        <f t="array" ref="B20">_xll.qlCalendarAddedHolidays(B1,B17)</f>
        <v>0</v>
      </c>
    </row>
    <row r="21" spans="1:2" ht="12.75" customHeight="1" x14ac:dyDescent="0.25">
      <c r="A21" t="s">
        <v>101</v>
      </c>
      <c r="B21" s="1" cm="1">
        <f t="array" ref="B21">_xll.qlCalendarRemovedHolidays(B1,B17)</f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F300-0ACE-414A-85D4-FE4A0E362995}">
  <dimension ref="A1:C10"/>
  <sheetViews>
    <sheetView workbookViewId="0">
      <selection activeCell="B10" sqref="B10"/>
    </sheetView>
  </sheetViews>
  <sheetFormatPr baseColWidth="10" defaultColWidth="11.5703125" defaultRowHeight="15" x14ac:dyDescent="0.25"/>
  <cols>
    <col min="1" max="1" width="20" customWidth="1"/>
    <col min="3" max="3" width="21.5703125" bestFit="1" customWidth="1"/>
  </cols>
  <sheetData>
    <row r="1" spans="1:3" x14ac:dyDescent="0.25">
      <c r="A1" t="s">
        <v>58</v>
      </c>
      <c r="B1" t="str">
        <f>_xll.qlCalendar("TARGET")</f>
        <v>TARGET</v>
      </c>
    </row>
    <row r="2" spans="1:3" x14ac:dyDescent="0.25">
      <c r="A2" t="s">
        <v>61</v>
      </c>
      <c r="B2" s="1">
        <v>46053</v>
      </c>
    </row>
    <row r="3" spans="1:3" x14ac:dyDescent="0.25">
      <c r="A3" t="s">
        <v>73</v>
      </c>
      <c r="B3" t="s">
        <v>65</v>
      </c>
    </row>
    <row r="4" spans="1:3" x14ac:dyDescent="0.25">
      <c r="A4" t="s">
        <v>66</v>
      </c>
      <c r="B4">
        <v>10</v>
      </c>
    </row>
    <row r="5" spans="1:3" x14ac:dyDescent="0.25">
      <c r="A5" t="s">
        <v>67</v>
      </c>
      <c r="B5" t="s">
        <v>70</v>
      </c>
      <c r="C5" s="1"/>
    </row>
    <row r="6" spans="1:3" x14ac:dyDescent="0.25">
      <c r="A6" t="s">
        <v>68</v>
      </c>
      <c r="B6" t="s">
        <v>69</v>
      </c>
    </row>
    <row r="8" spans="1:3" x14ac:dyDescent="0.25">
      <c r="A8" t="s">
        <v>71</v>
      </c>
      <c r="B8" s="1">
        <f>_xll.qlCalendarAdjust(B1,B2)</f>
        <v>46055</v>
      </c>
    </row>
    <row r="9" spans="1:3" x14ac:dyDescent="0.25">
      <c r="A9" t="s">
        <v>72</v>
      </c>
      <c r="B9" s="1">
        <f>_xll.qlCalendarAdvance(B1,B2,B6,B3,0)</f>
        <v>46142</v>
      </c>
    </row>
    <row r="10" spans="1:3" x14ac:dyDescent="0.25">
      <c r="A10" t="s">
        <v>72</v>
      </c>
      <c r="B10" s="1">
        <f>_xll.qlCalendarAdvance2(B1,B2,B4,B5,B3,1)</f>
        <v>46066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B7C2-660D-4F66-9443-9DB0EA674324}">
  <dimension ref="A1:B15"/>
  <sheetViews>
    <sheetView workbookViewId="0">
      <selection activeCell="B14" sqref="B14"/>
    </sheetView>
  </sheetViews>
  <sheetFormatPr baseColWidth="10" defaultColWidth="11.5703125" defaultRowHeight="15" x14ac:dyDescent="0.25"/>
  <cols>
    <col min="1" max="1" width="28" customWidth="1"/>
    <col min="2" max="2" width="75.42578125" customWidth="1"/>
  </cols>
  <sheetData>
    <row r="1" spans="1:2" x14ac:dyDescent="0.25">
      <c r="A1" t="s">
        <v>58</v>
      </c>
      <c r="B1" t="str">
        <f>_xll.qlCalendar("Sweden")</f>
        <v>Sweden</v>
      </c>
    </row>
    <row r="2" spans="1:2" x14ac:dyDescent="0.25">
      <c r="A2" t="s">
        <v>58</v>
      </c>
      <c r="B2" t="str">
        <f>_xll.qlCalendar("TARGET")</f>
        <v>TARGET</v>
      </c>
    </row>
    <row r="3" spans="1:2" x14ac:dyDescent="0.25">
      <c r="A3" t="s">
        <v>75</v>
      </c>
      <c r="B3" t="str" cm="1">
        <f t="array" ref="B3">_xll.qlCalendar("UK_Settlement")</f>
        <v>UK settlement</v>
      </c>
    </row>
    <row r="4" spans="1:2" x14ac:dyDescent="0.25">
      <c r="A4" t="s">
        <v>75</v>
      </c>
      <c r="B4" t="str" cm="1">
        <f t="array" ref="B4">_xll.qlCalendar("Denmark")</f>
        <v>Denmark</v>
      </c>
    </row>
    <row r="5" spans="1:2" x14ac:dyDescent="0.25">
      <c r="A5" t="s">
        <v>75</v>
      </c>
      <c r="B5" t="str" cm="1">
        <f t="array" ref="B5">_xll.qlCalendar("Iceland")</f>
        <v>Iceland stock exchange</v>
      </c>
    </row>
    <row r="6" spans="1:2" x14ac:dyDescent="0.25">
      <c r="A6" t="s">
        <v>74</v>
      </c>
      <c r="B6" t="s">
        <v>92</v>
      </c>
    </row>
    <row r="7" spans="1:2" x14ac:dyDescent="0.25">
      <c r="A7" s="3" t="s">
        <v>80</v>
      </c>
      <c r="B7" t="str">
        <f>_xll.qlCalendarJointCalendar(B1,B2,B6)</f>
        <v>JoinHolidays(Sweden, TARGET)</v>
      </c>
    </row>
    <row r="8" spans="1:2" x14ac:dyDescent="0.25">
      <c r="A8" s="3" t="s">
        <v>81</v>
      </c>
      <c r="B8" t="str">
        <f>_xll.qlCalendarJointCalendar2(B1,B2,B3)</f>
        <v>JoinHolidays(Sweden, TARGET, UK settlement)</v>
      </c>
    </row>
    <row r="9" spans="1:2" x14ac:dyDescent="0.25">
      <c r="A9" s="3" t="s">
        <v>82</v>
      </c>
      <c r="B9" t="str" cm="1">
        <f t="array" ref="B9">_xll.qlCalendarJointCalendar3(B1,B2,B3,B4,B6)</f>
        <v>JoinHolidays(Sweden, TARGET, UK settlement, Denmark)</v>
      </c>
    </row>
    <row r="10" spans="1:2" x14ac:dyDescent="0.25">
      <c r="A10" s="3" t="s">
        <v>83</v>
      </c>
      <c r="B10" t="str" cm="1">
        <f t="array" ref="B10">_xll.qlCalendarJointCalendarN(B1:B5,B6)</f>
        <v>JoinHolidays(Sweden, TARGET, UK settlement, Denmark, Iceland stock exchange)</v>
      </c>
    </row>
    <row r="12" spans="1:2" x14ac:dyDescent="0.25">
      <c r="A12" s="6" t="s">
        <v>88</v>
      </c>
      <c r="B12" s="4" t="s">
        <v>89</v>
      </c>
    </row>
    <row r="13" spans="1:2" x14ac:dyDescent="0.25">
      <c r="A13" s="3" t="s">
        <v>43</v>
      </c>
      <c r="B13" s="4" t="b" cm="1">
        <f t="array" ref="B13">_xll.qlCalendarisWeekend(B7,B12)</f>
        <v>1</v>
      </c>
    </row>
    <row r="14" spans="1:2" x14ac:dyDescent="0.25">
      <c r="A14" s="6" t="s">
        <v>88</v>
      </c>
      <c r="B14" s="4" t="s">
        <v>91</v>
      </c>
    </row>
    <row r="15" spans="1:2" x14ac:dyDescent="0.25">
      <c r="A15" s="3" t="s">
        <v>43</v>
      </c>
      <c r="B15" s="4" t="b" cm="1">
        <f t="array" ref="B15">_xll.qlCalendarisWeekend(B7,B14)</f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4356-29FD-43C6-BF7E-7BF23ACAB286}">
  <dimension ref="A1:B8"/>
  <sheetViews>
    <sheetView workbookViewId="0"/>
  </sheetViews>
  <sheetFormatPr baseColWidth="10" defaultRowHeight="15" x14ac:dyDescent="0.25"/>
  <cols>
    <col min="1" max="1" width="35" customWidth="1"/>
    <col min="2" max="2" width="32.7109375" customWidth="1"/>
  </cols>
  <sheetData>
    <row r="1" spans="1:2" x14ac:dyDescent="0.25">
      <c r="A1" t="s">
        <v>84</v>
      </c>
      <c r="B1" t="s">
        <v>86</v>
      </c>
    </row>
    <row r="2" spans="1:2" x14ac:dyDescent="0.25">
      <c r="A2" s="3" t="s">
        <v>85</v>
      </c>
      <c r="B2" t="str" cm="1">
        <f t="array" ref="B2">_xll.qlBespokeCalendar(B1)</f>
        <v>BESPOKECALENDAR(TestCalendar)</v>
      </c>
    </row>
    <row r="3" spans="1:2" x14ac:dyDescent="0.25">
      <c r="A3" s="6" t="s">
        <v>88</v>
      </c>
      <c r="B3" t="s">
        <v>90</v>
      </c>
    </row>
    <row r="4" spans="1:2" x14ac:dyDescent="0.25">
      <c r="A4" s="3" t="s">
        <v>87</v>
      </c>
      <c r="B4" s="4" t="b" cm="1">
        <f t="array" ref="B4">_xll.qlBespokeCalendarAddWeekend(B2,B3)</f>
        <v>1</v>
      </c>
    </row>
    <row r="5" spans="1:2" x14ac:dyDescent="0.25">
      <c r="A5" s="6" t="s">
        <v>88</v>
      </c>
      <c r="B5" s="4" t="s">
        <v>89</v>
      </c>
    </row>
    <row r="6" spans="1:2" x14ac:dyDescent="0.25">
      <c r="A6" s="3" t="s">
        <v>43</v>
      </c>
      <c r="B6" s="4" t="b" cm="1">
        <f t="array" ref="B6">_xll.qlCalendarisWeekend(B2,B5,B4)</f>
        <v>0</v>
      </c>
    </row>
    <row r="7" spans="1:2" x14ac:dyDescent="0.25">
      <c r="A7" s="6" t="s">
        <v>88</v>
      </c>
      <c r="B7" s="4" t="s">
        <v>90</v>
      </c>
    </row>
    <row r="8" spans="1:2" x14ac:dyDescent="0.25">
      <c r="A8" s="3" t="s">
        <v>43</v>
      </c>
      <c r="B8" s="4" t="b" cm="1">
        <f t="array" ref="B8">_xll.qlCalendarisWeekend(B2,B7,B6)</f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types</vt:lpstr>
      <vt:lpstr>functions</vt:lpstr>
      <vt:lpstr>addremove_holidays</vt:lpstr>
      <vt:lpstr>adjust_advance</vt:lpstr>
      <vt:lpstr>jointCalendar</vt:lpstr>
      <vt:lpstr>bespokeCalendar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2026-05-20T11:38:14Z</dcterms:created>
  <dcterms:modified xsi:type="dcterms:W3CDTF">2026-10-19T09:20:09Z</dcterms:modified>
</cp:coreProperties>
</file>