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01_GitHub\sschlenkrich\QuantLibXlOil\tests\workbooktests\workbooks\"/>
    </mc:Choice>
  </mc:AlternateContent>
  <xr:revisionPtr revIDLastSave="0" documentId="13_ncr:1_{5A174508-5660-4DE7-8B0D-20F244A60084}" xr6:coauthVersionLast="47" xr6:coauthVersionMax="47" xr10:uidLastSave="{00000000-0000-0000-0000-000000000000}"/>
  <bookViews>
    <workbookView xWindow="-120" yWindow="-21720" windowWidth="38640" windowHeight="21120" firstSheet="14" activeTab="19" xr2:uid="{A576409D-E527-4FE8-BADF-F8DE357B9837}"/>
  </bookViews>
  <sheets>
    <sheet name="Tabs" sheetId="1" r:id="rId1"/>
    <sheet name="Swap" sheetId="2" r:id="rId2"/>
    <sheet name="VanillaSwap" sheetId="3" r:id="rId3"/>
    <sheet name="MakeVanillaSwap" sheetId="4" r:id="rId4"/>
    <sheet name="NonStandardSwap" sheetId="6" r:id="rId5"/>
    <sheet name="AssetSwap" sheetId="7" r:id="rId6"/>
    <sheet name="FloatFloatSwap" sheetId="8" r:id="rId7"/>
    <sheet name="OvernightIndexedSwap" sheetId="10" r:id="rId8"/>
    <sheet name="MakeOIS" sheetId="11" r:id="rId9"/>
    <sheet name="MultipleResetsSwap" sheetId="15" r:id="rId10"/>
    <sheet name="MakeMultipleResetsSwap" sheetId="16" r:id="rId11"/>
    <sheet name="OvernightIndexedSwapIndex" sheetId="12" r:id="rId12"/>
    <sheet name="ZeroCouponSwap" sheetId="13" r:id="rId13"/>
    <sheet name="BMASwap" sheetId="24" r:id="rId14"/>
    <sheet name="EquityTotalReturnSwap" sheetId="14" r:id="rId15"/>
    <sheet name="ConstNotionalCrossCurrencySwap" sheetId="17" r:id="rId16"/>
    <sheet name="ConstNotionalCrossCurrencySwapN" sheetId="21" r:id="rId17"/>
    <sheet name="ConstNotionalCrossCurrencyFixVs" sheetId="22" r:id="rId18"/>
    <sheet name="ConstNotionalCrossCurrencyBasis" sheetId="23" r:id="rId19"/>
    <sheet name="MtMCrossCurrencyBasisSwap" sheetId="25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4" i="25" l="1" a="1"/>
  <c r="B2" i="25"/>
  <c r="C104" i="25" l="1"/>
  <c r="C30" i="25"/>
  <c r="B50" i="2"/>
  <c r="B51" i="2" s="1"/>
  <c r="B52" i="2" s="1"/>
  <c r="B53" i="2" s="1"/>
  <c r="B54" i="2" s="1"/>
  <c r="B55" i="2" s="1"/>
  <c r="B56" i="2" s="1"/>
  <c r="C33" i="23" a="1"/>
  <c r="C31" i="22" a="1"/>
  <c r="B2" i="22"/>
  <c r="B7" i="17" a="1"/>
  <c r="B82" i="10"/>
  <c r="B2" i="2"/>
  <c r="B68" i="2"/>
  <c r="B11" i="13"/>
  <c r="B2" i="3"/>
  <c r="B11" i="3"/>
  <c r="B2" i="11"/>
  <c r="C18" i="4"/>
  <c r="C26" i="11"/>
  <c r="B56" i="23" a="1"/>
  <c r="B58" i="23" a="1"/>
  <c r="B32" i="22" a="1"/>
  <c r="B5" i="17" a="1"/>
  <c r="B14" i="17" a="1"/>
  <c r="B49" i="13"/>
  <c r="B17" i="2"/>
  <c r="B16" i="21" a="1"/>
  <c r="C11" i="13"/>
  <c r="B47" i="2"/>
  <c r="C99" i="10"/>
  <c r="C50" i="22" a="1"/>
  <c r="B2" i="13"/>
  <c r="C24" i="16"/>
  <c r="B2" i="8"/>
  <c r="C17" i="8" s="1"/>
  <c r="B32" i="23" a="1"/>
  <c r="C14" i="23" a="1"/>
  <c r="B31" i="22" a="1"/>
  <c r="C5" i="17" a="1"/>
  <c r="B18" i="2"/>
  <c r="C14" i="21" a="1"/>
  <c r="B6" i="7"/>
  <c r="C23" i="11"/>
  <c r="C25" i="14"/>
  <c r="C53" i="13"/>
  <c r="B20" i="3"/>
  <c r="B2" i="4"/>
  <c r="C36" i="4" s="1"/>
  <c r="B47" i="13"/>
  <c r="B6" i="21" a="1"/>
  <c r="B19" i="15"/>
  <c r="B45" i="11"/>
  <c r="B5" i="4"/>
  <c r="B11" i="15"/>
  <c r="B59" i="2"/>
  <c r="B21" i="2"/>
  <c r="B26" i="8"/>
  <c r="C82" i="10"/>
  <c r="C27" i="3"/>
  <c r="C16" i="8"/>
  <c r="C58" i="8"/>
  <c r="C19" i="15"/>
  <c r="C15" i="13"/>
  <c r="C19" i="3"/>
  <c r="B2" i="23"/>
  <c r="B14" i="23" a="1"/>
  <c r="C32" i="22" a="1"/>
  <c r="B12" i="17" a="1"/>
  <c r="B14" i="21" a="1"/>
  <c r="B20" i="2"/>
  <c r="B93" i="10"/>
  <c r="C19" i="7"/>
  <c r="B2" i="15"/>
  <c r="B2" i="7"/>
  <c r="C24" i="11"/>
  <c r="B27" i="3"/>
  <c r="C93" i="10"/>
  <c r="B2" i="14"/>
  <c r="B11" i="7"/>
  <c r="B20" i="14"/>
  <c r="C52" i="22" a="1"/>
  <c r="B19" i="3"/>
  <c r="B29" i="14"/>
  <c r="C11" i="10"/>
  <c r="C16" i="14"/>
  <c r="C26" i="8"/>
  <c r="C15" i="23" a="1"/>
  <c r="C56" i="23" a="1"/>
  <c r="B15" i="22" a="1"/>
  <c r="C12" i="17" a="1"/>
  <c r="B11" i="10"/>
  <c r="C11" i="15"/>
  <c r="B2" i="12"/>
  <c r="C47" i="13"/>
  <c r="C16" i="21" a="1"/>
  <c r="C25" i="11"/>
  <c r="B33" i="23" a="1"/>
  <c r="C32" i="23" a="1"/>
  <c r="B50" i="22" a="1"/>
  <c r="B2" i="17"/>
  <c r="B2" i="21"/>
  <c r="C5" i="21" a="1"/>
  <c r="C11" i="3"/>
  <c r="C19" i="10"/>
  <c r="C6" i="21" a="1"/>
  <c r="C20" i="3"/>
  <c r="B16" i="2"/>
  <c r="C25" i="8"/>
  <c r="B9" i="13"/>
  <c r="C38" i="11"/>
  <c r="C8" i="12"/>
  <c r="B19" i="2"/>
  <c r="B17" i="14"/>
  <c r="B17" i="8"/>
  <c r="C7" i="17" a="1"/>
  <c r="B15" i="23" a="1"/>
  <c r="B52" i="22" a="1"/>
  <c r="C15" i="22" a="1"/>
  <c r="C14" i="17" a="1"/>
  <c r="C6" i="7"/>
  <c r="C9" i="7" s="1"/>
  <c r="C49" i="13"/>
  <c r="B11" i="14"/>
  <c r="B16" i="8"/>
  <c r="C27" i="4"/>
  <c r="B8" i="12"/>
  <c r="B25" i="8"/>
  <c r="C5" i="4"/>
  <c r="B5" i="11"/>
  <c r="B41" i="4"/>
  <c r="B60" i="2"/>
  <c r="B2" i="16"/>
  <c r="C20" i="14"/>
  <c r="C58" i="23" a="1"/>
  <c r="B5" i="21" a="1"/>
  <c r="C11" i="14"/>
  <c r="B2" i="10"/>
  <c r="C9" i="13"/>
  <c r="B15" i="13"/>
  <c r="B53" i="13"/>
  <c r="B20" i="15"/>
  <c r="B29" i="15"/>
  <c r="C20" i="15"/>
  <c r="C11" i="7"/>
  <c r="C26" i="7"/>
  <c r="B26" i="7"/>
  <c r="C17" i="14"/>
  <c r="B16" i="14"/>
  <c r="C29" i="14"/>
  <c r="C5" i="16"/>
  <c r="B94" i="10"/>
  <c r="B106" i="10"/>
  <c r="C106" i="10"/>
  <c r="B14" i="10"/>
  <c r="B26" i="10"/>
  <c r="C14" i="10"/>
  <c r="C26" i="10"/>
  <c r="C94" i="10"/>
  <c r="B24" i="24" a="1"/>
  <c r="B20" i="24" a="1"/>
  <c r="B19" i="24" a="1"/>
  <c r="B18" i="24" a="1"/>
  <c r="B17" i="24" a="1"/>
  <c r="B16" i="24" a="1"/>
  <c r="B15" i="24" a="1"/>
  <c r="B10" i="24" a="1"/>
  <c r="B13" i="24" a="1"/>
  <c r="B12" i="24" a="1"/>
  <c r="B7" i="24" a="1"/>
  <c r="B2" i="24"/>
  <c r="C80" i="6" a="1"/>
  <c r="C79" i="6" a="1"/>
  <c r="C41" i="6"/>
  <c r="C26" i="6"/>
  <c r="C16" i="6"/>
  <c r="B26" i="6"/>
  <c r="B16" i="6"/>
  <c r="B2" i="6"/>
  <c r="B27" i="6"/>
  <c r="B28" i="6" s="1"/>
  <c r="B41" i="6" s="1"/>
  <c r="C27" i="6"/>
  <c r="C28" i="6" s="1"/>
  <c r="B79" i="6" a="1"/>
  <c r="B5" i="25" a="1"/>
  <c r="B9" i="25" a="1"/>
  <c r="B10" i="25" a="1"/>
  <c r="C47" i="25" a="1"/>
  <c r="C48" i="25" a="1"/>
  <c r="C58" i="25" l="1"/>
  <c r="C59" i="25" s="1"/>
  <c r="C48" i="25"/>
  <c r="C47" i="25"/>
  <c r="B10" i="25"/>
  <c r="B9" i="25"/>
  <c r="B5" i="25"/>
  <c r="C57" i="25" s="1"/>
  <c r="B24" i="24"/>
  <c r="B20" i="24"/>
  <c r="B19" i="24"/>
  <c r="B18" i="24"/>
  <c r="B17" i="24"/>
  <c r="B16" i="24"/>
  <c r="B15" i="24"/>
  <c r="B10" i="24"/>
  <c r="B13" i="24"/>
  <c r="B12" i="24"/>
  <c r="B7" i="24"/>
  <c r="C80" i="6"/>
  <c r="C79" i="6"/>
  <c r="B79" i="6"/>
  <c r="C32" i="23"/>
  <c r="C56" i="23"/>
  <c r="B14" i="23"/>
  <c r="C14" i="23"/>
  <c r="B58" i="23"/>
  <c r="C33" i="23"/>
  <c r="C58" i="23"/>
  <c r="B15" i="23"/>
  <c r="B33" i="23"/>
  <c r="C15" i="23"/>
  <c r="B32" i="23"/>
  <c r="B56" i="23"/>
  <c r="C52" i="22"/>
  <c r="C15" i="22"/>
  <c r="B50" i="22"/>
  <c r="B15" i="22"/>
  <c r="C32" i="22"/>
  <c r="B31" i="22"/>
  <c r="B32" i="22"/>
  <c r="C31" i="22"/>
  <c r="C50" i="22"/>
  <c r="B52" i="22"/>
  <c r="B14" i="17"/>
  <c r="B7" i="17"/>
  <c r="C7" i="17"/>
  <c r="C14" i="17"/>
  <c r="C12" i="17"/>
  <c r="B12" i="17"/>
  <c r="C5" i="17"/>
  <c r="B5" i="17"/>
  <c r="B16" i="21"/>
  <c r="C5" i="21"/>
  <c r="C14" i="21"/>
  <c r="C6" i="21"/>
  <c r="C16" i="21"/>
  <c r="B6" i="21"/>
  <c r="B5" i="21"/>
  <c r="B14" i="21"/>
  <c r="C21" i="16"/>
  <c r="B5" i="16"/>
  <c r="B58" i="22" a="1"/>
  <c r="C6" i="16"/>
  <c r="B58" i="8"/>
  <c r="B6" i="11"/>
  <c r="C15" i="10"/>
  <c r="B23" i="2"/>
  <c r="B64" i="23" a="1"/>
  <c r="C33" i="22" a="1"/>
  <c r="B63" i="2"/>
  <c r="B10" i="13"/>
  <c r="B27" i="8"/>
  <c r="C5" i="11"/>
  <c r="C29" i="15"/>
  <c r="C19" i="14"/>
  <c r="C34" i="23" a="1"/>
  <c r="B33" i="22" a="1"/>
  <c r="B9" i="7"/>
  <c r="B22" i="21" a="1"/>
  <c r="B18" i="8"/>
  <c r="B34" i="23" a="1"/>
  <c r="C20" i="17" a="1"/>
  <c r="B21" i="14"/>
  <c r="C21" i="14"/>
  <c r="C22" i="21" a="1"/>
  <c r="C95" i="10"/>
  <c r="B22" i="2"/>
  <c r="C6" i="4"/>
  <c r="B31" i="2"/>
  <c r="C64" i="23" a="1"/>
  <c r="C9" i="17" a="1"/>
  <c r="B24" i="16"/>
  <c r="B6" i="4"/>
  <c r="B15" i="10"/>
  <c r="C21" i="3"/>
  <c r="C26" i="3" s="1"/>
  <c r="C51" i="3"/>
  <c r="C54" i="3"/>
  <c r="C27" i="8"/>
  <c r="C42" i="3"/>
  <c r="C47" i="3"/>
  <c r="C55" i="3"/>
  <c r="B16" i="23" a="1"/>
  <c r="B9" i="17" a="1"/>
  <c r="C12" i="7"/>
  <c r="B21" i="3"/>
  <c r="B26" i="3" s="1"/>
  <c r="B11" i="21" a="1"/>
  <c r="B48" i="13"/>
  <c r="B21" i="15"/>
  <c r="C11" i="21" a="1"/>
  <c r="B52" i="13"/>
  <c r="B12" i="7"/>
  <c r="C57" i="3"/>
  <c r="C53" i="3"/>
  <c r="C34" i="3"/>
  <c r="B48" i="3"/>
  <c r="B46" i="3"/>
  <c r="B44" i="3"/>
  <c r="B57" i="13"/>
  <c r="C56" i="3"/>
  <c r="B43" i="3"/>
  <c r="C36" i="3"/>
  <c r="B71" i="13"/>
  <c r="C16" i="23" a="1"/>
  <c r="B20" i="17" a="1"/>
  <c r="C48" i="13"/>
  <c r="B95" i="10"/>
  <c r="C21" i="15"/>
  <c r="C18" i="8"/>
  <c r="B19" i="14"/>
  <c r="B6" i="16"/>
  <c r="C45" i="3"/>
  <c r="B57" i="3"/>
  <c r="B36" i="3"/>
  <c r="B56" i="3"/>
  <c r="C58" i="22" a="1"/>
  <c r="B61" i="2"/>
  <c r="C11" i="12"/>
  <c r="C10" i="13"/>
  <c r="B14" i="13"/>
  <c r="B105" i="10"/>
  <c r="B11" i="12"/>
  <c r="B12" i="12"/>
  <c r="B14" i="12"/>
  <c r="B38" i="2"/>
  <c r="B30" i="2"/>
  <c r="B32" i="2"/>
  <c r="B29" i="2"/>
  <c r="C48" i="3"/>
  <c r="C35" i="3"/>
  <c r="C33" i="3"/>
  <c r="C44" i="3"/>
  <c r="C52" i="3"/>
  <c r="C46" i="3"/>
  <c r="C50" i="3"/>
  <c r="C49" i="3"/>
  <c r="C43" i="3"/>
  <c r="B49" i="3"/>
  <c r="B50" i="3"/>
  <c r="B34" i="3"/>
  <c r="B54" i="3"/>
  <c r="B47" i="3"/>
  <c r="B45" i="3"/>
  <c r="B55" i="3"/>
  <c r="B33" i="3"/>
  <c r="B53" i="3"/>
  <c r="B51" i="3"/>
  <c r="B35" i="3"/>
  <c r="B52" i="3"/>
  <c r="B42" i="3"/>
  <c r="B70" i="13"/>
  <c r="B56" i="13"/>
  <c r="B68" i="13"/>
  <c r="B65" i="13"/>
  <c r="B69" i="13"/>
  <c r="B59" i="13"/>
  <c r="B67" i="13"/>
  <c r="B58" i="13"/>
  <c r="B66" i="13"/>
  <c r="B64" i="2"/>
  <c r="B62" i="2"/>
  <c r="C14" i="12"/>
  <c r="C12" i="12"/>
  <c r="B29" i="13"/>
  <c r="B30" i="13"/>
  <c r="B27" i="13"/>
  <c r="B18" i="13"/>
  <c r="B20" i="13"/>
  <c r="B33" i="13"/>
  <c r="B32" i="13"/>
  <c r="B21" i="13"/>
  <c r="B28" i="13"/>
  <c r="B31" i="13"/>
  <c r="B19" i="13"/>
  <c r="B136" i="10"/>
  <c r="B130" i="10"/>
  <c r="B139" i="10"/>
  <c r="B121" i="10"/>
  <c r="B142" i="10"/>
  <c r="B109" i="10"/>
  <c r="B135" i="10"/>
  <c r="B126" i="10"/>
  <c r="B127" i="10"/>
  <c r="B110" i="10"/>
  <c r="B137" i="10"/>
  <c r="B140" i="10"/>
  <c r="B124" i="10"/>
  <c r="B131" i="10"/>
  <c r="B129" i="10"/>
  <c r="B133" i="10"/>
  <c r="B111" i="10"/>
  <c r="B132" i="10"/>
  <c r="B118" i="10"/>
  <c r="B134" i="10"/>
  <c r="B112" i="10"/>
  <c r="B122" i="10"/>
  <c r="B123" i="10"/>
  <c r="B141" i="10"/>
  <c r="B128" i="10"/>
  <c r="B125" i="10"/>
  <c r="B138" i="10"/>
  <c r="B27" i="2"/>
  <c r="C27" i="10"/>
  <c r="C54" i="13"/>
  <c r="B72" i="2"/>
  <c r="B16" i="13"/>
  <c r="B17" i="13" s="1"/>
  <c r="C43" i="11"/>
  <c r="B27" i="10"/>
  <c r="B107" i="10"/>
  <c r="C107" i="10"/>
  <c r="B26" i="13"/>
  <c r="C37" i="4"/>
  <c r="C16" i="13"/>
  <c r="C25" i="16"/>
  <c r="C30" i="14"/>
  <c r="C22" i="16"/>
  <c r="B34" i="13"/>
  <c r="B35" i="13"/>
  <c r="B24" i="13"/>
  <c r="C59" i="8"/>
  <c r="B46" i="11"/>
  <c r="B37" i="13"/>
  <c r="B54" i="13"/>
  <c r="B31" i="3"/>
  <c r="B30" i="14"/>
  <c r="B23" i="13"/>
  <c r="B30" i="7"/>
  <c r="B42" i="4"/>
  <c r="B22" i="13"/>
  <c r="C30" i="7"/>
  <c r="C31" i="3"/>
  <c r="C32" i="3" s="1"/>
  <c r="C59" i="3"/>
  <c r="B30" i="15"/>
  <c r="C41" i="3"/>
  <c r="B36" i="13"/>
  <c r="B55" i="13"/>
  <c r="B25" i="13"/>
  <c r="B61" i="13"/>
  <c r="C42" i="6"/>
  <c r="B42" i="6"/>
  <c r="B61" i="6"/>
  <c r="B48" i="6"/>
  <c r="B70" i="6"/>
  <c r="B64" i="6"/>
  <c r="B59" i="6"/>
  <c r="B51" i="6"/>
  <c r="B71" i="6"/>
  <c r="B57" i="6"/>
  <c r="B67" i="6"/>
  <c r="B73" i="6"/>
  <c r="B66" i="6"/>
  <c r="B50" i="6"/>
  <c r="B49" i="6"/>
  <c r="B78" i="6"/>
  <c r="B68" i="6"/>
  <c r="B58" i="6"/>
  <c r="B63" i="6"/>
  <c r="B76" i="6"/>
  <c r="B77" i="6"/>
  <c r="B75" i="6"/>
  <c r="B69" i="6"/>
  <c r="C40" i="3"/>
  <c r="C60" i="3"/>
  <c r="C58" i="3"/>
  <c r="C39" i="3"/>
  <c r="C37" i="3"/>
  <c r="C61" i="3"/>
  <c r="C38" i="3"/>
  <c r="C62" i="3"/>
  <c r="C63" i="3"/>
  <c r="B63" i="13"/>
  <c r="B64" i="13"/>
  <c r="B62" i="13"/>
  <c r="B75" i="13"/>
  <c r="B60" i="13"/>
  <c r="B73" i="13"/>
  <c r="B74" i="13"/>
  <c r="B72" i="13"/>
  <c r="B25" i="25" a="1"/>
  <c r="B6" i="25" a="1"/>
  <c r="C25" i="25" a="1"/>
  <c r="B19" i="25" a="1"/>
  <c r="C19" i="25" a="1"/>
  <c r="C19" i="25" l="1"/>
  <c r="C25" i="25"/>
  <c r="C52" i="25"/>
  <c r="B52" i="25"/>
  <c r="C54" i="25"/>
  <c r="B54" i="25"/>
  <c r="B19" i="25"/>
  <c r="B6" i="25"/>
  <c r="B25" i="25"/>
  <c r="C16" i="23"/>
  <c r="B16" i="23"/>
  <c r="C64" i="23"/>
  <c r="B34" i="23"/>
  <c r="C34" i="23"/>
  <c r="B64" i="23"/>
  <c r="B33" i="22"/>
  <c r="C33" i="22"/>
  <c r="B58" i="22"/>
  <c r="C58" i="22"/>
  <c r="B20" i="17"/>
  <c r="B9" i="17"/>
  <c r="C9" i="17"/>
  <c r="C20" i="17"/>
  <c r="C11" i="21"/>
  <c r="B11" i="21"/>
  <c r="C22" i="21"/>
  <c r="B22" i="21"/>
  <c r="B67" i="2"/>
  <c r="B47" i="22" a="1"/>
  <c r="B33" i="17"/>
  <c r="C57" i="8"/>
  <c r="B28" i="21"/>
  <c r="B28" i="14"/>
  <c r="C23" i="21" a="1"/>
  <c r="B25" i="10"/>
  <c r="B34" i="14"/>
  <c r="B32" i="14"/>
  <c r="B52" i="10"/>
  <c r="B19" i="23" a="1"/>
  <c r="B36" i="22" a="1"/>
  <c r="C25" i="17"/>
  <c r="C28" i="14"/>
  <c r="B40" i="4"/>
  <c r="B26" i="21"/>
  <c r="C45" i="14"/>
  <c r="C29" i="21"/>
  <c r="C6" i="11"/>
  <c r="C49" i="14"/>
  <c r="C35" i="21"/>
  <c r="C37" i="23" a="1"/>
  <c r="B25" i="17"/>
  <c r="C26" i="17"/>
  <c r="C52" i="13"/>
  <c r="B29" i="21"/>
  <c r="B44" i="11"/>
  <c r="B68" i="11"/>
  <c r="B63" i="11"/>
  <c r="B75" i="11"/>
  <c r="C53" i="14"/>
  <c r="B81" i="11"/>
  <c r="C69" i="13"/>
  <c r="B35" i="14"/>
  <c r="B42" i="14"/>
  <c r="B50" i="4"/>
  <c r="B71" i="4"/>
  <c r="B72" i="4"/>
  <c r="B65" i="4"/>
  <c r="B49" i="11"/>
  <c r="B56" i="10"/>
  <c r="B53" i="10"/>
  <c r="B60" i="10"/>
  <c r="B25" i="7"/>
  <c r="B37" i="23" a="1"/>
  <c r="B10" i="17" a="1"/>
  <c r="C10" i="17" a="1"/>
  <c r="B27" i="21"/>
  <c r="C52" i="14"/>
  <c r="C28" i="21"/>
  <c r="C12" i="21" a="1"/>
  <c r="B64" i="11"/>
  <c r="C42" i="14"/>
  <c r="C59" i="13"/>
  <c r="C65" i="13"/>
  <c r="B45" i="14"/>
  <c r="B43" i="14"/>
  <c r="B58" i="4"/>
  <c r="B46" i="4"/>
  <c r="B48" i="4"/>
  <c r="B54" i="4"/>
  <c r="B80" i="11"/>
  <c r="B49" i="10"/>
  <c r="B54" i="10"/>
  <c r="B50" i="10"/>
  <c r="B57" i="10"/>
  <c r="B61" i="11"/>
  <c r="B44" i="14"/>
  <c r="B73" i="4"/>
  <c r="B62" i="11"/>
  <c r="C53" i="23" a="1"/>
  <c r="B21" i="17" a="1"/>
  <c r="C21" i="17" a="1"/>
  <c r="B12" i="21" a="1"/>
  <c r="C48" i="14"/>
  <c r="B74" i="11"/>
  <c r="C33" i="14"/>
  <c r="C51" i="14"/>
  <c r="B77" i="11"/>
  <c r="C70" i="8"/>
  <c r="C67" i="13"/>
  <c r="C56" i="13"/>
  <c r="C54" i="14"/>
  <c r="B41" i="14"/>
  <c r="B46" i="14"/>
  <c r="B60" i="4"/>
  <c r="B63" i="4"/>
  <c r="B69" i="4"/>
  <c r="B62" i="4"/>
  <c r="B69" i="11"/>
  <c r="B31" i="10"/>
  <c r="B58" i="10"/>
  <c r="B45" i="10"/>
  <c r="B61" i="4"/>
  <c r="C105" i="10"/>
  <c r="C19" i="23" a="1"/>
  <c r="B26" i="17"/>
  <c r="C27" i="17"/>
  <c r="B23" i="16"/>
  <c r="C27" i="21"/>
  <c r="C44" i="14"/>
  <c r="B60" i="11"/>
  <c r="B28" i="15"/>
  <c r="C26" i="21"/>
  <c r="B44" i="10"/>
  <c r="C64" i="8"/>
  <c r="C71" i="13"/>
  <c r="C70" i="13"/>
  <c r="B50" i="16"/>
  <c r="B47" i="16"/>
  <c r="B49" i="16"/>
  <c r="C35" i="14"/>
  <c r="B50" i="14"/>
  <c r="B47" i="14"/>
  <c r="B56" i="4"/>
  <c r="B68" i="4"/>
  <c r="B74" i="4"/>
  <c r="B57" i="4"/>
  <c r="B72" i="11"/>
  <c r="B71" i="11"/>
  <c r="B49" i="15"/>
  <c r="B53" i="15"/>
  <c r="B35" i="15"/>
  <c r="B50" i="15"/>
  <c r="B48" i="10"/>
  <c r="B43" i="10"/>
  <c r="B51" i="10"/>
  <c r="B30" i="10"/>
  <c r="B61" i="10"/>
  <c r="B33" i="14"/>
  <c r="B66" i="11"/>
  <c r="B47" i="10"/>
  <c r="B46" i="10"/>
  <c r="B57" i="8"/>
  <c r="C47" i="22" a="1"/>
  <c r="B27" i="17"/>
  <c r="C24" i="17"/>
  <c r="C28" i="15"/>
  <c r="C43" i="14"/>
  <c r="B76" i="2"/>
  <c r="B50" i="11"/>
  <c r="C14" i="13"/>
  <c r="C25" i="7"/>
  <c r="B57" i="11"/>
  <c r="C63" i="8"/>
  <c r="C57" i="13"/>
  <c r="B53" i="16"/>
  <c r="B43" i="16"/>
  <c r="B46" i="16"/>
  <c r="B28" i="16"/>
  <c r="C34" i="15"/>
  <c r="C50" i="15"/>
  <c r="C57" i="15"/>
  <c r="C32" i="14"/>
  <c r="B48" i="14"/>
  <c r="B51" i="14"/>
  <c r="B44" i="4"/>
  <c r="B45" i="4"/>
  <c r="B49" i="4"/>
  <c r="B55" i="4"/>
  <c r="B76" i="11"/>
  <c r="B32" i="15"/>
  <c r="B34" i="15"/>
  <c r="B48" i="15"/>
  <c r="C27" i="13"/>
  <c r="B55" i="10"/>
  <c r="B59" i="10"/>
  <c r="B62" i="10"/>
  <c r="B41" i="10"/>
  <c r="B45" i="16"/>
  <c r="B53" i="14"/>
  <c r="B52" i="4"/>
  <c r="B58" i="15"/>
  <c r="C36" i="22" a="1"/>
  <c r="B24" i="17"/>
  <c r="C33" i="17"/>
  <c r="C47" i="14"/>
  <c r="C50" i="14"/>
  <c r="B35" i="21"/>
  <c r="B23" i="21" a="1"/>
  <c r="C25" i="10"/>
  <c r="B32" i="10"/>
  <c r="C55" i="10"/>
  <c r="C62" i="8"/>
  <c r="C68" i="13"/>
  <c r="B29" i="16"/>
  <c r="B51" i="16"/>
  <c r="B59" i="16"/>
  <c r="B27" i="16"/>
  <c r="C55" i="15"/>
  <c r="C33" i="15"/>
  <c r="C47" i="15"/>
  <c r="C46" i="14"/>
  <c r="B49" i="14"/>
  <c r="B54" i="14"/>
  <c r="B59" i="4"/>
  <c r="B53" i="4"/>
  <c r="B66" i="4"/>
  <c r="B70" i="4"/>
  <c r="B73" i="11"/>
  <c r="B79" i="11"/>
  <c r="B33" i="15"/>
  <c r="B46" i="15"/>
  <c r="B45" i="15"/>
  <c r="B47" i="15"/>
  <c r="C20" i="13"/>
  <c r="C32" i="7"/>
  <c r="B42" i="10"/>
  <c r="B38" i="10"/>
  <c r="B29" i="10"/>
  <c r="C62" i="10"/>
  <c r="C44" i="10"/>
  <c r="B78" i="11"/>
  <c r="C61" i="8"/>
  <c r="B58" i="16"/>
  <c r="B41" i="16"/>
  <c r="C49" i="15"/>
  <c r="B52" i="14"/>
  <c r="B43" i="15"/>
  <c r="C51" i="10"/>
  <c r="C35" i="15"/>
  <c r="B70" i="11"/>
  <c r="B51" i="15"/>
  <c r="C33" i="7"/>
  <c r="C60" i="10"/>
  <c r="C48" i="10"/>
  <c r="B74" i="2"/>
  <c r="B77" i="2"/>
  <c r="B75" i="2"/>
  <c r="B83" i="2"/>
  <c r="C34" i="14"/>
  <c r="C41" i="14"/>
  <c r="B47" i="4"/>
  <c r="B64" i="4"/>
  <c r="B67" i="4"/>
  <c r="B51" i="4"/>
  <c r="C58" i="13"/>
  <c r="C66" i="13"/>
  <c r="B51" i="11"/>
  <c r="B67" i="11"/>
  <c r="B65" i="11"/>
  <c r="B48" i="11"/>
  <c r="B33" i="7"/>
  <c r="B34" i="7"/>
  <c r="B32" i="7"/>
  <c r="B41" i="7"/>
  <c r="B35" i="7"/>
  <c r="C125" i="10"/>
  <c r="C122" i="10"/>
  <c r="C121" i="10"/>
  <c r="C140" i="10"/>
  <c r="C130" i="10"/>
  <c r="C128" i="10"/>
  <c r="C141" i="10"/>
  <c r="C133" i="10"/>
  <c r="C137" i="10"/>
  <c r="C110" i="10"/>
  <c r="C129" i="10"/>
  <c r="C135" i="10"/>
  <c r="C142" i="10"/>
  <c r="C123" i="10"/>
  <c r="C136" i="10"/>
  <c r="C112" i="10"/>
  <c r="C124" i="10"/>
  <c r="C138" i="10"/>
  <c r="C126" i="10"/>
  <c r="C118" i="10"/>
  <c r="C127" i="10"/>
  <c r="C132" i="10"/>
  <c r="C109" i="10"/>
  <c r="C139" i="10"/>
  <c r="C134" i="10"/>
  <c r="C131" i="10"/>
  <c r="C111" i="10"/>
  <c r="B37" i="16"/>
  <c r="B54" i="16"/>
  <c r="B30" i="16"/>
  <c r="B42" i="16"/>
  <c r="B48" i="16"/>
  <c r="B38" i="16"/>
  <c r="B40" i="16"/>
  <c r="B57" i="16"/>
  <c r="B60" i="16"/>
  <c r="B39" i="16"/>
  <c r="B36" i="16"/>
  <c r="B55" i="16"/>
  <c r="B44" i="16"/>
  <c r="B56" i="16"/>
  <c r="B52" i="16"/>
  <c r="B42" i="15"/>
  <c r="B54" i="15"/>
  <c r="B44" i="15"/>
  <c r="B41" i="15"/>
  <c r="B59" i="15"/>
  <c r="B52" i="15"/>
  <c r="B57" i="15"/>
  <c r="B55" i="15"/>
  <c r="B56" i="15"/>
  <c r="B64" i="8"/>
  <c r="B61" i="8"/>
  <c r="B70" i="8"/>
  <c r="B63" i="8"/>
  <c r="B62" i="8"/>
  <c r="C42" i="15"/>
  <c r="C48" i="15"/>
  <c r="C43" i="15"/>
  <c r="C53" i="15"/>
  <c r="C32" i="15"/>
  <c r="C56" i="15"/>
  <c r="C41" i="15"/>
  <c r="C45" i="15"/>
  <c r="C44" i="15"/>
  <c r="C54" i="15"/>
  <c r="C52" i="15"/>
  <c r="C58" i="15"/>
  <c r="C46" i="15"/>
  <c r="C51" i="15"/>
  <c r="C59" i="15"/>
  <c r="C18" i="13"/>
  <c r="C21" i="13"/>
  <c r="C28" i="13"/>
  <c r="C31" i="13"/>
  <c r="C29" i="13"/>
  <c r="C30" i="13"/>
  <c r="C33" i="13"/>
  <c r="C32" i="13"/>
  <c r="C19" i="13"/>
  <c r="C34" i="7"/>
  <c r="C35" i="7"/>
  <c r="C41" i="7"/>
  <c r="C50" i="10"/>
  <c r="C31" i="10"/>
  <c r="C56" i="10"/>
  <c r="C47" i="10"/>
  <c r="C57" i="10"/>
  <c r="C29" i="10"/>
  <c r="C30" i="10"/>
  <c r="C43" i="10"/>
  <c r="C41" i="10"/>
  <c r="C59" i="10"/>
  <c r="C38" i="10"/>
  <c r="C32" i="10"/>
  <c r="C42" i="10"/>
  <c r="C54" i="10"/>
  <c r="C45" i="10"/>
  <c r="C49" i="10"/>
  <c r="C58" i="10"/>
  <c r="C52" i="10"/>
  <c r="C61" i="10"/>
  <c r="C46" i="10"/>
  <c r="C53" i="10"/>
  <c r="C23" i="16"/>
  <c r="B108" i="10"/>
  <c r="B31" i="14"/>
  <c r="C60" i="8"/>
  <c r="B39" i="14"/>
  <c r="C40" i="4"/>
  <c r="B55" i="14"/>
  <c r="B47" i="11"/>
  <c r="C53" i="4"/>
  <c r="B57" i="14"/>
  <c r="B31" i="15"/>
  <c r="B115" i="10"/>
  <c r="B143" i="10"/>
  <c r="B58" i="11"/>
  <c r="B36" i="15"/>
  <c r="B61" i="15"/>
  <c r="C66" i="8"/>
  <c r="B113" i="10"/>
  <c r="B28" i="2"/>
  <c r="C66" i="4"/>
  <c r="B54" i="11"/>
  <c r="C47" i="4"/>
  <c r="B55" i="11"/>
  <c r="C71" i="4"/>
  <c r="B64" i="15"/>
  <c r="B117" i="10"/>
  <c r="B147" i="10"/>
  <c r="B56" i="11"/>
  <c r="B65" i="15"/>
  <c r="B38" i="15"/>
  <c r="C65" i="8"/>
  <c r="B38" i="14"/>
  <c r="B73" i="2"/>
  <c r="B81" i="2" s="1"/>
  <c r="B43" i="4"/>
  <c r="B85" i="11"/>
  <c r="C55" i="13"/>
  <c r="C61" i="13"/>
  <c r="B40" i="14"/>
  <c r="B83" i="11"/>
  <c r="C60" i="13"/>
  <c r="C60" i="4"/>
  <c r="C70" i="4"/>
  <c r="C61" i="4"/>
  <c r="B148" i="10"/>
  <c r="B146" i="10"/>
  <c r="B84" i="11"/>
  <c r="B39" i="15"/>
  <c r="C67" i="8"/>
  <c r="C63" i="13"/>
  <c r="C45" i="4"/>
  <c r="C72" i="13"/>
  <c r="C44" i="4"/>
  <c r="C69" i="4"/>
  <c r="B32" i="3"/>
  <c r="C67" i="4"/>
  <c r="B25" i="16"/>
  <c r="C74" i="13"/>
  <c r="C73" i="4"/>
  <c r="C63" i="4"/>
  <c r="B34" i="2"/>
  <c r="B59" i="11"/>
  <c r="B41" i="3"/>
  <c r="C46" i="4"/>
  <c r="B28" i="10"/>
  <c r="B63" i="3"/>
  <c r="B82" i="11"/>
  <c r="B39" i="3"/>
  <c r="C62" i="4"/>
  <c r="B37" i="14"/>
  <c r="B144" i="10"/>
  <c r="B86" i="11"/>
  <c r="B63" i="15"/>
  <c r="B40" i="15"/>
  <c r="B40" i="3"/>
  <c r="B39" i="10"/>
  <c r="B78" i="2"/>
  <c r="C28" i="10"/>
  <c r="C67" i="10"/>
  <c r="C34" i="10"/>
  <c r="C35" i="10"/>
  <c r="B119" i="10"/>
  <c r="B80" i="2"/>
  <c r="B59" i="8"/>
  <c r="C74" i="4"/>
  <c r="C50" i="4"/>
  <c r="C69" i="8"/>
  <c r="C31" i="7"/>
  <c r="C68" i="8"/>
  <c r="C64" i="13"/>
  <c r="C30" i="15"/>
  <c r="C31" i="15" s="1"/>
  <c r="C56" i="4"/>
  <c r="C17" i="13"/>
  <c r="C65" i="4"/>
  <c r="B120" i="10"/>
  <c r="B52" i="11"/>
  <c r="B37" i="15"/>
  <c r="B58" i="3"/>
  <c r="C23" i="13"/>
  <c r="B63" i="10"/>
  <c r="B79" i="2"/>
  <c r="C63" i="15"/>
  <c r="B65" i="10"/>
  <c r="C37" i="10"/>
  <c r="B82" i="2"/>
  <c r="B145" i="10"/>
  <c r="B61" i="3"/>
  <c r="C22" i="13"/>
  <c r="C39" i="10"/>
  <c r="C31" i="14"/>
  <c r="C59" i="4"/>
  <c r="B56" i="14"/>
  <c r="C49" i="4"/>
  <c r="C51" i="4"/>
  <c r="B36" i="14"/>
  <c r="C54" i="4"/>
  <c r="B53" i="11"/>
  <c r="C38" i="7"/>
  <c r="C57" i="14"/>
  <c r="C68" i="4"/>
  <c r="C36" i="7"/>
  <c r="C72" i="4"/>
  <c r="B37" i="3"/>
  <c r="C48" i="4"/>
  <c r="B116" i="10"/>
  <c r="B31" i="7"/>
  <c r="C108" i="10"/>
  <c r="B38" i="3"/>
  <c r="B43" i="7"/>
  <c r="C42" i="7"/>
  <c r="C38" i="14"/>
  <c r="B60" i="15"/>
  <c r="C61" i="15"/>
  <c r="B36" i="10"/>
  <c r="C36" i="15"/>
  <c r="C144" i="10"/>
  <c r="C61" i="6"/>
  <c r="C68" i="6"/>
  <c r="C67" i="6"/>
  <c r="C66" i="6"/>
  <c r="C46" i="6"/>
  <c r="C75" i="6"/>
  <c r="C57" i="6"/>
  <c r="C77" i="6"/>
  <c r="C76" i="6"/>
  <c r="C59" i="6"/>
  <c r="C48" i="6"/>
  <c r="C63" i="6"/>
  <c r="B46" i="6"/>
  <c r="C78" i="6"/>
  <c r="C49" i="6"/>
  <c r="C73" i="6"/>
  <c r="C69" i="6"/>
  <c r="C71" i="6"/>
  <c r="C50" i="6"/>
  <c r="C51" i="6"/>
  <c r="C70" i="6"/>
  <c r="C58" i="6"/>
  <c r="C64" i="6"/>
  <c r="C48" i="16"/>
  <c r="C50" i="16"/>
  <c r="C36" i="16"/>
  <c r="C45" i="16"/>
  <c r="C27" i="16"/>
  <c r="C51" i="16"/>
  <c r="C59" i="16"/>
  <c r="C57" i="16"/>
  <c r="C38" i="16"/>
  <c r="C47" i="16"/>
  <c r="C49" i="16"/>
  <c r="C56" i="16"/>
  <c r="C40" i="16"/>
  <c r="C30" i="16"/>
  <c r="C53" i="16"/>
  <c r="C28" i="16"/>
  <c r="C52" i="16"/>
  <c r="C29" i="16"/>
  <c r="C44" i="16"/>
  <c r="C46" i="16"/>
  <c r="C58" i="16"/>
  <c r="C37" i="16"/>
  <c r="C43" i="16"/>
  <c r="C54" i="16"/>
  <c r="C26" i="16"/>
  <c r="C60" i="16"/>
  <c r="C55" i="16"/>
  <c r="C39" i="16"/>
  <c r="C55" i="4"/>
  <c r="C52" i="4"/>
  <c r="C57" i="4"/>
  <c r="C64" i="4"/>
  <c r="B37" i="2"/>
  <c r="B33" i="2"/>
  <c r="B35" i="2"/>
  <c r="C73" i="13"/>
  <c r="C62" i="13"/>
  <c r="B62" i="3"/>
  <c r="B60" i="3"/>
  <c r="B59" i="3"/>
  <c r="B64" i="10"/>
  <c r="B40" i="10"/>
  <c r="B33" i="10"/>
  <c r="B37" i="10"/>
  <c r="B66" i="10"/>
  <c r="B34" i="10"/>
  <c r="B35" i="10"/>
  <c r="B68" i="10"/>
  <c r="C40" i="10"/>
  <c r="C63" i="10"/>
  <c r="C65" i="10"/>
  <c r="C36" i="10"/>
  <c r="C66" i="10"/>
  <c r="C64" i="10"/>
  <c r="C33" i="10"/>
  <c r="C43" i="7"/>
  <c r="C39" i="7"/>
  <c r="C37" i="7"/>
  <c r="C37" i="15"/>
  <c r="C62" i="15"/>
  <c r="C38" i="15"/>
  <c r="C65" i="15"/>
  <c r="C40" i="15"/>
  <c r="C39" i="15"/>
  <c r="C64" i="15"/>
  <c r="C60" i="15"/>
  <c r="C25" i="13"/>
  <c r="C34" i="13"/>
  <c r="C37" i="13"/>
  <c r="C26" i="13"/>
  <c r="C36" i="13"/>
  <c r="C35" i="13"/>
  <c r="C56" i="14"/>
  <c r="C55" i="14"/>
  <c r="C36" i="14"/>
  <c r="C39" i="14"/>
  <c r="C40" i="14"/>
  <c r="C37" i="14"/>
  <c r="B38" i="7"/>
  <c r="B42" i="7"/>
  <c r="B36" i="7"/>
  <c r="B37" i="7"/>
  <c r="B39" i="7"/>
  <c r="B40" i="7"/>
  <c r="C115" i="10"/>
  <c r="C146" i="10"/>
  <c r="C147" i="10"/>
  <c r="C116" i="10"/>
  <c r="C113" i="10"/>
  <c r="C148" i="10"/>
  <c r="C120" i="10"/>
  <c r="C143" i="10"/>
  <c r="C119" i="10"/>
  <c r="C117" i="10"/>
  <c r="C145" i="10"/>
  <c r="C33" i="16"/>
  <c r="C31" i="16"/>
  <c r="C34" i="16"/>
  <c r="C32" i="16"/>
  <c r="C35" i="16"/>
  <c r="B7" i="25" a="1"/>
  <c r="B60" i="25" a="1"/>
  <c r="C60" i="25" a="1"/>
  <c r="C60" i="25" l="1"/>
  <c r="B60" i="25"/>
  <c r="B7" i="25"/>
  <c r="C19" i="23"/>
  <c r="C53" i="23"/>
  <c r="B37" i="23"/>
  <c r="C37" i="23"/>
  <c r="B19" i="23"/>
  <c r="B36" i="22"/>
  <c r="B47" i="22"/>
  <c r="C36" i="22"/>
  <c r="C47" i="22"/>
  <c r="C21" i="17"/>
  <c r="C10" i="17"/>
  <c r="B21" i="17"/>
  <c r="B10" i="17"/>
  <c r="C23" i="21"/>
  <c r="C12" i="21"/>
  <c r="B23" i="21"/>
  <c r="B12" i="21"/>
  <c r="C62" i="22"/>
  <c r="C71" i="22"/>
  <c r="C71" i="23"/>
  <c r="B48" i="22" a="1"/>
  <c r="C63" i="22"/>
  <c r="C68" i="23"/>
  <c r="B59" i="22" a="1"/>
  <c r="C64" i="22"/>
  <c r="C24" i="21" a="1"/>
  <c r="C77" i="23"/>
  <c r="B22" i="17" a="1"/>
  <c r="B25" i="21" a="1"/>
  <c r="B63" i="22"/>
  <c r="B64" i="22"/>
  <c r="B53" i="23" a="1"/>
  <c r="C59" i="22" a="1"/>
  <c r="B23" i="17" a="1"/>
  <c r="C25" i="21" a="1"/>
  <c r="C54" i="23" a="1"/>
  <c r="C69" i="23"/>
  <c r="B65" i="22"/>
  <c r="C65" i="22"/>
  <c r="C23" i="17" a="1"/>
  <c r="C70" i="23"/>
  <c r="B71" i="22"/>
  <c r="C48" i="22" a="1"/>
  <c r="C22" i="17" a="1"/>
  <c r="C65" i="23" a="1"/>
  <c r="B62" i="22"/>
  <c r="B24" i="21" a="1"/>
  <c r="C75" i="13"/>
  <c r="B36" i="2"/>
  <c r="B114" i="10"/>
  <c r="B62" i="15"/>
  <c r="C58" i="4"/>
  <c r="B87" i="11"/>
  <c r="B60" i="8"/>
  <c r="B65" i="8" s="1"/>
  <c r="C24" i="13"/>
  <c r="B67" i="8"/>
  <c r="B26" i="16"/>
  <c r="C40" i="7"/>
  <c r="B68" i="8"/>
  <c r="B33" i="16"/>
  <c r="B35" i="16"/>
  <c r="C114" i="10"/>
  <c r="B69" i="8"/>
  <c r="B67" i="10"/>
  <c r="C44" i="11"/>
  <c r="C68" i="10"/>
  <c r="C53" i="11"/>
  <c r="C70" i="11"/>
  <c r="C75" i="11"/>
  <c r="C61" i="11"/>
  <c r="C54" i="11"/>
  <c r="C73" i="11"/>
  <c r="C51" i="11"/>
  <c r="C79" i="11"/>
  <c r="B66" i="8"/>
  <c r="C82" i="11"/>
  <c r="B47" i="6"/>
  <c r="C47" i="6"/>
  <c r="C53" i="6"/>
  <c r="C54" i="6"/>
  <c r="B56" i="6"/>
  <c r="B54" i="6"/>
  <c r="B52" i="6"/>
  <c r="B53" i="6"/>
  <c r="B55" i="6"/>
  <c r="C56" i="6"/>
  <c r="C55" i="6"/>
  <c r="C52" i="6"/>
  <c r="B32" i="16"/>
  <c r="B31" i="16"/>
  <c r="C72" i="11"/>
  <c r="C80" i="11"/>
  <c r="C59" i="11"/>
  <c r="C77" i="11"/>
  <c r="C50" i="11"/>
  <c r="C74" i="11"/>
  <c r="C60" i="11"/>
  <c r="C85" i="11"/>
  <c r="C57" i="11"/>
  <c r="C87" i="11"/>
  <c r="C63" i="11"/>
  <c r="C55" i="11"/>
  <c r="C86" i="11"/>
  <c r="C49" i="11"/>
  <c r="C58" i="11"/>
  <c r="C83" i="11"/>
  <c r="C71" i="11"/>
  <c r="C66" i="11"/>
  <c r="C81" i="11"/>
  <c r="C48" i="11"/>
  <c r="C62" i="11"/>
  <c r="C64" i="11"/>
  <c r="C76" i="11"/>
  <c r="C84" i="11"/>
  <c r="C56" i="11"/>
  <c r="C78" i="11"/>
  <c r="C68" i="11"/>
  <c r="C69" i="11"/>
  <c r="C67" i="11"/>
  <c r="C65" i="11"/>
  <c r="C52" i="11"/>
  <c r="C24" i="25" l="1"/>
  <c r="C18" i="25"/>
  <c r="B18" i="25"/>
  <c r="B24" i="25"/>
  <c r="B53" i="23"/>
  <c r="C54" i="23"/>
  <c r="C65" i="23"/>
  <c r="C48" i="22"/>
  <c r="C59" i="22"/>
  <c r="B59" i="22"/>
  <c r="B48" i="22"/>
  <c r="C22" i="17"/>
  <c r="C23" i="17"/>
  <c r="B23" i="17"/>
  <c r="B22" i="17"/>
  <c r="C24" i="21"/>
  <c r="C25" i="21"/>
  <c r="B25" i="21"/>
  <c r="B24" i="21"/>
  <c r="C79" i="23" a="1"/>
  <c r="B72" i="22" a="1"/>
  <c r="B30" i="17"/>
  <c r="C32" i="21"/>
  <c r="C60" i="22" a="1"/>
  <c r="B33" i="21"/>
  <c r="C61" i="22" a="1"/>
  <c r="C30" i="21"/>
  <c r="B68" i="23"/>
  <c r="B28" i="17"/>
  <c r="B61" i="22" a="1"/>
  <c r="B31" i="17"/>
  <c r="B69" i="23"/>
  <c r="C67" i="23" a="1"/>
  <c r="B60" i="22" a="1"/>
  <c r="B29" i="17"/>
  <c r="C31" i="21"/>
  <c r="B65" i="23" a="1"/>
  <c r="C78" i="23" a="1"/>
  <c r="C28" i="17"/>
  <c r="B30" i="21"/>
  <c r="B70" i="23"/>
  <c r="C66" i="23" a="1"/>
  <c r="C31" i="17"/>
  <c r="B32" i="21"/>
  <c r="B71" i="23"/>
  <c r="C30" i="17"/>
  <c r="B54" i="23" a="1"/>
  <c r="C29" i="17"/>
  <c r="B73" i="22" a="1"/>
  <c r="B31" i="21"/>
  <c r="B77" i="23"/>
  <c r="C33" i="21"/>
  <c r="B34" i="16"/>
  <c r="B49" i="25" a="1"/>
  <c r="C49" i="25" a="1"/>
  <c r="C49" i="25" l="1"/>
  <c r="B49" i="25"/>
  <c r="C66" i="23"/>
  <c r="C78" i="23"/>
  <c r="C67" i="23"/>
  <c r="C79" i="23"/>
  <c r="B54" i="23"/>
  <c r="B65" i="23"/>
  <c r="C60" i="22"/>
  <c r="B60" i="22"/>
  <c r="B72" i="22"/>
  <c r="B61" i="22"/>
  <c r="B73" i="22"/>
  <c r="C61" i="22"/>
  <c r="C72" i="23"/>
  <c r="B68" i="22"/>
  <c r="C75" i="23"/>
  <c r="B67" i="22"/>
  <c r="C74" i="23"/>
  <c r="B66" i="22"/>
  <c r="C67" i="22"/>
  <c r="B67" i="23" a="1"/>
  <c r="C69" i="22"/>
  <c r="C73" i="23"/>
  <c r="B69" i="22"/>
  <c r="B66" i="23" a="1"/>
  <c r="C68" i="22"/>
  <c r="B79" i="23" a="1"/>
  <c r="C66" i="22"/>
  <c r="B78" i="23" a="1"/>
  <c r="B72" i="25" a="1"/>
  <c r="B81" i="25" a="1"/>
  <c r="B89" i="25" a="1"/>
  <c r="B66" i="25" a="1"/>
  <c r="B74" i="25" a="1"/>
  <c r="B82" i="25" a="1"/>
  <c r="B91" i="25" a="1"/>
  <c r="B67" i="25" a="1"/>
  <c r="B75" i="25" a="1"/>
  <c r="B83" i="25" a="1"/>
  <c r="B92" i="25" a="1"/>
  <c r="B96" i="25" a="1"/>
  <c r="B76" i="25" a="1"/>
  <c r="B64" i="25" a="1"/>
  <c r="B80" i="25" a="1"/>
  <c r="B102" i="25" a="1"/>
  <c r="B73" i="25" a="1"/>
  <c r="B84" i="25" a="1"/>
  <c r="B93" i="25" a="1"/>
  <c r="B77" i="25" a="1"/>
  <c r="B85" i="25" a="1"/>
  <c r="B70" i="25" a="1"/>
  <c r="B78" i="25" a="1"/>
  <c r="B86" i="25" a="1"/>
  <c r="B99" i="25" a="1"/>
  <c r="B88" i="25" a="1"/>
  <c r="B65" i="25" a="1"/>
  <c r="B68" i="25" a="1"/>
  <c r="B69" i="25" a="1"/>
  <c r="B98" i="25" a="1"/>
  <c r="B63" i="25" a="1"/>
  <c r="B71" i="25" a="1"/>
  <c r="B79" i="25" a="1"/>
  <c r="B87" i="25" a="1"/>
  <c r="B101" i="25" a="1"/>
  <c r="C61" i="25" a="1"/>
  <c r="B61" i="25" a="1"/>
  <c r="C101" i="25" a="1"/>
  <c r="C98" i="25" a="1"/>
  <c r="C95" i="25" a="1"/>
  <c r="C93" i="25" a="1"/>
  <c r="C102" i="25" a="1"/>
  <c r="C96" i="25" a="1"/>
  <c r="C99" i="25" a="1"/>
  <c r="C92" i="25" a="1"/>
  <c r="C94" i="25" a="1"/>
  <c r="C91" i="25" a="1"/>
  <c r="C100" i="25" a="1"/>
  <c r="C100" i="25" l="1"/>
  <c r="C91" i="25"/>
  <c r="C94" i="25"/>
  <c r="C92" i="25"/>
  <c r="C99" i="25"/>
  <c r="C96" i="25"/>
  <c r="C102" i="25"/>
  <c r="C93" i="25"/>
  <c r="C95" i="25"/>
  <c r="C98" i="25"/>
  <c r="C101" i="25"/>
  <c r="B101" i="25"/>
  <c r="B87" i="25"/>
  <c r="B79" i="25"/>
  <c r="B71" i="25"/>
  <c r="B63" i="25"/>
  <c r="B98" i="25"/>
  <c r="B69" i="25"/>
  <c r="B68" i="25"/>
  <c r="B65" i="25"/>
  <c r="B88" i="25"/>
  <c r="B99" i="25"/>
  <c r="B86" i="25"/>
  <c r="B78" i="25"/>
  <c r="B70" i="25"/>
  <c r="B85" i="25"/>
  <c r="B77" i="25"/>
  <c r="B93" i="25"/>
  <c r="B84" i="25"/>
  <c r="B73" i="25"/>
  <c r="B102" i="25"/>
  <c r="B80" i="25"/>
  <c r="B64" i="25"/>
  <c r="B76" i="25"/>
  <c r="B96" i="25"/>
  <c r="B92" i="25"/>
  <c r="B83" i="25"/>
  <c r="B75" i="25"/>
  <c r="B67" i="25"/>
  <c r="B91" i="25"/>
  <c r="B82" i="25"/>
  <c r="B74" i="25"/>
  <c r="B66" i="25"/>
  <c r="B89" i="25"/>
  <c r="B81" i="25"/>
  <c r="B72" i="25"/>
  <c r="B61" i="25"/>
  <c r="C61" i="25"/>
  <c r="B78" i="23"/>
  <c r="B67" i="23"/>
  <c r="B79" i="23"/>
  <c r="B66" i="23"/>
  <c r="B72" i="23"/>
  <c r="B73" i="23"/>
  <c r="B75" i="23"/>
  <c r="B74" i="23"/>
  <c r="C108" i="25" a="1"/>
  <c r="C106" i="25" a="1"/>
  <c r="C97" i="25" a="1"/>
  <c r="C107" i="25" a="1"/>
  <c r="C105" i="25" a="1"/>
  <c r="C103" i="25" a="1"/>
  <c r="B105" i="25" a="1"/>
  <c r="B108" i="25" a="1"/>
  <c r="B106" i="25" a="1"/>
  <c r="B107" i="25" a="1"/>
  <c r="B97" i="25" a="1"/>
  <c r="B97" i="25" l="1"/>
  <c r="B107" i="25"/>
  <c r="B106" i="25"/>
  <c r="B108" i="25"/>
  <c r="B105" i="25"/>
  <c r="C103" i="25"/>
  <c r="C105" i="25"/>
  <c r="C107" i="25"/>
  <c r="C97" i="25"/>
  <c r="C106" i="25"/>
  <c r="C108" i="2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<sst xmlns="http://schemas.openxmlformats.org/spreadsheetml/2006/main" count="1577" uniqueCount="497">
  <si>
    <t>Swap</t>
  </si>
  <si>
    <t>VanillaSwap</t>
  </si>
  <si>
    <t>MakeVanillaSwap</t>
  </si>
  <si>
    <t>NonstandardSwap</t>
  </si>
  <si>
    <t>DiscountingSwapEngine</t>
  </si>
  <si>
    <t>AssetSwap</t>
  </si>
  <si>
    <t>FloatFloatSwap</t>
  </si>
  <si>
    <t>MakeOIS</t>
  </si>
  <si>
    <t>OvernightIndexedSwapIndex</t>
  </si>
  <si>
    <t>ZeroCouponSwap</t>
  </si>
  <si>
    <t>EquityTotalReturnSwap</t>
  </si>
  <si>
    <t>Tabs</t>
  </si>
  <si>
    <t>Pricing Engine tested</t>
  </si>
  <si>
    <t>ref_date</t>
  </si>
  <si>
    <t>evaluation_date (qlSettingsSetEvaluationDate)</t>
  </si>
  <si>
    <t>OvernightIndexedSwap</t>
  </si>
  <si>
    <t>qlSwap</t>
  </si>
  <si>
    <t>qlSwapNumberOfLegs</t>
  </si>
  <si>
    <t>qlSwapStartDate</t>
  </si>
  <si>
    <t>qlSwapMaturityDate</t>
  </si>
  <si>
    <t>qlSwapNpvDateDiscount</t>
  </si>
  <si>
    <t>qlDiscountingSwapEngine</t>
  </si>
  <si>
    <t>discount_curve</t>
  </si>
  <si>
    <t>include_settlement_date_flows</t>
  </si>
  <si>
    <t>settlement_date</t>
  </si>
  <si>
    <t>npv_date</t>
  </si>
  <si>
    <t>payDate_1_1</t>
  </si>
  <si>
    <t>amount_1_1</t>
  </si>
  <si>
    <t>payDate_1_2</t>
  </si>
  <si>
    <t>amount_1_2</t>
  </si>
  <si>
    <t>payDate_2_1</t>
  </si>
  <si>
    <t>amount_2_1</t>
  </si>
  <si>
    <t>payDate_2_2</t>
  </si>
  <si>
    <t>amount_2_2</t>
  </si>
  <si>
    <t>payDate_2_3</t>
  </si>
  <si>
    <t>amount_2_3</t>
  </si>
  <si>
    <t>payDate_2_4</t>
  </si>
  <si>
    <t>amount_2_5</t>
  </si>
  <si>
    <t>first_leg</t>
  </si>
  <si>
    <t>second_leg</t>
  </si>
  <si>
    <t>calender</t>
  </si>
  <si>
    <t>Target</t>
  </si>
  <si>
    <t>start date</t>
  </si>
  <si>
    <t>end date</t>
  </si>
  <si>
    <t>tenor</t>
  </si>
  <si>
    <t>3m</t>
  </si>
  <si>
    <t>convention</t>
  </si>
  <si>
    <t>following</t>
  </si>
  <si>
    <t>day counter</t>
  </si>
  <si>
    <t>Actual360</t>
  </si>
  <si>
    <t>qlMakeSchedule</t>
  </si>
  <si>
    <t>Notionals</t>
  </si>
  <si>
    <t>Coupons</t>
  </si>
  <si>
    <t>qlFixedRateLeg</t>
  </si>
  <si>
    <t>qlEuribor</t>
  </si>
  <si>
    <t>projection_curve</t>
  </si>
  <si>
    <t>qlIborLeg</t>
  </si>
  <si>
    <t>legs</t>
  </si>
  <si>
    <t>payer</t>
  </si>
  <si>
    <t>qlSwap2</t>
  </si>
  <si>
    <t>type</t>
  </si>
  <si>
    <t>nominal</t>
  </si>
  <si>
    <t>fixed_schedule</t>
  </si>
  <si>
    <t>fixed_rate</t>
  </si>
  <si>
    <t>fixed_day_count</t>
  </si>
  <si>
    <t>float_schedule</t>
  </si>
  <si>
    <t>index</t>
  </si>
  <si>
    <t>spread</t>
  </si>
  <si>
    <t>floating_day_count</t>
  </si>
  <si>
    <t>payment_convention</t>
  </si>
  <si>
    <t>with_indexed_coupons</t>
  </si>
  <si>
    <t>float_schedule (qlMakeSchedule)</t>
  </si>
  <si>
    <t>act/360</t>
  </si>
  <si>
    <t>qlVanillaSwap</t>
  </si>
  <si>
    <t>12m</t>
  </si>
  <si>
    <t>Following</t>
  </si>
  <si>
    <t>fixed_nominal</t>
  </si>
  <si>
    <t>floating_nominal</t>
  </si>
  <si>
    <t>gearing</t>
  </si>
  <si>
    <t>float_day_count</t>
  </si>
  <si>
    <t>intermediate_capital_exchange</t>
  </si>
  <si>
    <t>final_capital_exchange</t>
  </si>
  <si>
    <t>Unadjusted</t>
  </si>
  <si>
    <t>fixed_schedule (qlSChedule)</t>
  </si>
  <si>
    <t>act/365</t>
  </si>
  <si>
    <t>qlNonstandardSwap</t>
  </si>
  <si>
    <t>qlNonstandardSwapType</t>
  </si>
  <si>
    <t>qlNonstandardSwapFixedNominal</t>
  </si>
  <si>
    <t>qlNonstandardSwapFloatingNominal</t>
  </si>
  <si>
    <t>qlNonstandardSwapFixedSchedule</t>
  </si>
  <si>
    <t>qlNonstandardSwapFixedRate</t>
  </si>
  <si>
    <t>qlNonstandardSwapFixedDayCount</t>
  </si>
  <si>
    <t>qlNonstandardSwapFloatingSchedule</t>
  </si>
  <si>
    <t>qlNonstandardSwapIborIndex</t>
  </si>
  <si>
    <t>qlNonstandardSwapSpread</t>
  </si>
  <si>
    <t>qlNonstandardSwapGearing</t>
  </si>
  <si>
    <t>qlNonstandardSwapSpreads</t>
  </si>
  <si>
    <t>qlNonstandardSwapGearings</t>
  </si>
  <si>
    <t>qlNonstandardSwapFloatingDayCount</t>
  </si>
  <si>
    <t>qlNonstandardSwapPaymentConvention</t>
  </si>
  <si>
    <t>qlNonstandardSwapFixedLeg</t>
  </si>
  <si>
    <t>qlNonstandardSwapFloatingLeg</t>
  </si>
  <si>
    <t>receiver</t>
  </si>
  <si>
    <t>pay_fixed_rate</t>
  </si>
  <si>
    <t>bond_clean_price</t>
  </si>
  <si>
    <t>par_asset_swap</t>
  </si>
  <si>
    <t>non_par_repayment</t>
  </si>
  <si>
    <t>deal_maturity</t>
  </si>
  <si>
    <t>settlement_days</t>
  </si>
  <si>
    <t>calendar</t>
  </si>
  <si>
    <t>face_amount</t>
  </si>
  <si>
    <t>maturity_date</t>
  </si>
  <si>
    <t>qlAssetSwap</t>
  </si>
  <si>
    <t>qlAssetSwapFairCleanPrice</t>
  </si>
  <si>
    <t>qlAssetSwapFairSpread</t>
  </si>
  <si>
    <t>nominal1</t>
  </si>
  <si>
    <t>nominal2</t>
  </si>
  <si>
    <t>schedule1</t>
  </si>
  <si>
    <t>index1</t>
  </si>
  <si>
    <t>day_count1</t>
  </si>
  <si>
    <t>schedule2</t>
  </si>
  <si>
    <t>index2</t>
  </si>
  <si>
    <t>day_count2</t>
  </si>
  <si>
    <t>gearing1</t>
  </si>
  <si>
    <t>spread1</t>
  </si>
  <si>
    <t>capped_rate1</t>
  </si>
  <si>
    <t>floored_rate1</t>
  </si>
  <si>
    <t>gearing2</t>
  </si>
  <si>
    <t>spread2</t>
  </si>
  <si>
    <t>capped_rate2</t>
  </si>
  <si>
    <t>floored_rate2</t>
  </si>
  <si>
    <t>payment_convention1</t>
  </si>
  <si>
    <t>payment_convention2</t>
  </si>
  <si>
    <t>x</t>
  </si>
  <si>
    <t>qlFloatFloatSwap</t>
  </si>
  <si>
    <t>schedule</t>
  </si>
  <si>
    <t>fixed_dc</t>
  </si>
  <si>
    <t>payment_lag</t>
  </si>
  <si>
    <t>payment_adjustment</t>
  </si>
  <si>
    <t>payment_calendar</t>
  </si>
  <si>
    <t>telescopic_value_dates</t>
  </si>
  <si>
    <t>averaging_method</t>
  </si>
  <si>
    <t>lookback_days</t>
  </si>
  <si>
    <t>lockout_days</t>
  </si>
  <si>
    <t>apply_observation_shift</t>
  </si>
  <si>
    <t>qlOvernightIndexedSwap</t>
  </si>
  <si>
    <t>compound</t>
  </si>
  <si>
    <t>qlOvernightIndexedSwapOvernightLegBPS</t>
  </si>
  <si>
    <t>qlOvernightIndexedSwapOvernightLegNPV</t>
  </si>
  <si>
    <t>qlOvernightIndexedSwapPaymentFrequency</t>
  </si>
  <si>
    <t>qlOvernightIndexedSwapOvernightIndex</t>
  </si>
  <si>
    <t>qlOvernightIndexedSwapOvernightLeg</t>
  </si>
  <si>
    <t>qlOvernightIndexedSwapAveragingMethod</t>
  </si>
  <si>
    <t>qlOvernightIndexedSwapLookbackDays</t>
  </si>
  <si>
    <t>qlOvernightIndexedSwapLockoutDays</t>
  </si>
  <si>
    <t>qlOvernightIndexedSwapApplyObservationShift</t>
  </si>
  <si>
    <t>fixed_nominals</t>
  </si>
  <si>
    <t>overnight_nominals</t>
  </si>
  <si>
    <t>overnight_schedule</t>
  </si>
  <si>
    <t>overnight_index</t>
  </si>
  <si>
    <t>qlOvernightIndexedSwap2</t>
  </si>
  <si>
    <t>family_name</t>
  </si>
  <si>
    <t>currency</t>
  </si>
  <si>
    <t>Index</t>
  </si>
  <si>
    <t>3M</t>
  </si>
  <si>
    <t>EUR</t>
  </si>
  <si>
    <t>qlOvernightIndexedSwapIndex</t>
  </si>
  <si>
    <t>Index2</t>
  </si>
  <si>
    <t>qlOvernightIndexedSwapIndexOvernightIndex</t>
  </si>
  <si>
    <t>qlOvernightIndexedSwapIndexUnderlyingSwap</t>
  </si>
  <si>
    <t>fixing_date</t>
  </si>
  <si>
    <t>base_nominal</t>
  </si>
  <si>
    <t>start_date</t>
  </si>
  <si>
    <t>fixed_payment</t>
  </si>
  <si>
    <t>ibor_index</t>
  </si>
  <si>
    <t>payment_delay</t>
  </si>
  <si>
    <t>qlZeroCouponSwap</t>
  </si>
  <si>
    <t>qlZeroCouponSwapType</t>
  </si>
  <si>
    <t>qlZeroCouponSwapBaseNominal</t>
  </si>
  <si>
    <t>qlZeroCouponSwapIborIndex</t>
  </si>
  <si>
    <t>qlZeroCouponSwapFixedLeg</t>
  </si>
  <si>
    <t>qlZeroCouponSwapFloatingLeg</t>
  </si>
  <si>
    <t>qlZeroCouponSwapFixedPayment</t>
  </si>
  <si>
    <t>qlZeroCouponSwapFixedLegNPV</t>
  </si>
  <si>
    <t>qlZeroCouponSwapFloatingLegNPV</t>
  </si>
  <si>
    <t>qlZeroCouponSwapFairFixedPayment</t>
  </si>
  <si>
    <t>qlZeroCouponSwapFairFixedRate</t>
  </si>
  <si>
    <t>fixed_day_counter</t>
  </si>
  <si>
    <t>qlZeroCouponSwap2</t>
  </si>
  <si>
    <t>equity_index</t>
  </si>
  <si>
    <t>interest_rate_index</t>
  </si>
  <si>
    <t>day_counter</t>
  </si>
  <si>
    <t>margin</t>
  </si>
  <si>
    <t>div rate</t>
  </si>
  <si>
    <t>NullCalendar</t>
  </si>
  <si>
    <t>EquityIndex</t>
  </si>
  <si>
    <t>disc_curve</t>
  </si>
  <si>
    <t>div_curve</t>
  </si>
  <si>
    <t>name</t>
  </si>
  <si>
    <t>fixing_calendar</t>
  </si>
  <si>
    <t>spot_price</t>
  </si>
  <si>
    <t>qlEquityTotalReturnSwap</t>
  </si>
  <si>
    <t>qlEquityTotalReturnSwapType</t>
  </si>
  <si>
    <t>qlEquityTotalReturnSwapNominal</t>
  </si>
  <si>
    <t>qlEquityTotalReturnSwapEquityIndex</t>
  </si>
  <si>
    <t>qlEquityTotalReturnSwapInterestRateIndex</t>
  </si>
  <si>
    <t>qlEquityTotalReturnSwapSchedule</t>
  </si>
  <si>
    <t>qlEquityTotalReturnSwapDayCounter</t>
  </si>
  <si>
    <t>qlEquityTotalReturnSwapMargin</t>
  </si>
  <si>
    <t>qlEquityTotalReturnSwapGearing</t>
  </si>
  <si>
    <t>qlEquityTotalReturnSwapPaymentCalendar</t>
  </si>
  <si>
    <t>qlEquityTotalReturnSwapPaymentConvention</t>
  </si>
  <si>
    <t>qlEquityTotalReturnSwapPaymentDelay</t>
  </si>
  <si>
    <t>qlEquityTotalReturnSwapEquityLeg</t>
  </si>
  <si>
    <t>qlEquityTotalReturnSwapInterestRateLeg</t>
  </si>
  <si>
    <t>qlEquityTotalReturnSwapEquityLegNPV</t>
  </si>
  <si>
    <t>qlEquityTotalReturnSwapInterestRateLegNPV</t>
  </si>
  <si>
    <t>qlEquityTotalReturnSwapFairMargin</t>
  </si>
  <si>
    <t>qlSwapPayer (leg=0)</t>
  </si>
  <si>
    <t>qlSwapLeg (leg=1)</t>
  </si>
  <si>
    <t>qlSwapLegNPV (leg=1)</t>
  </si>
  <si>
    <t>qlSwapLegBPS (leg=1)</t>
  </si>
  <si>
    <t>qlSwapStartDiscounts (leg=1)</t>
  </si>
  <si>
    <t>qlSwapEndDiscounts (leg=1)</t>
  </si>
  <si>
    <t>swap_tenor</t>
  </si>
  <si>
    <t>qlMakeVanillaSwap</t>
  </si>
  <si>
    <t>forward_start</t>
  </si>
  <si>
    <t>2D</t>
  </si>
  <si>
    <t>receive_fixed</t>
  </si>
  <si>
    <t>swap_type</t>
  </si>
  <si>
    <t>effective_date</t>
  </si>
  <si>
    <t>termination_date</t>
  </si>
  <si>
    <t>date_generation_rule</t>
  </si>
  <si>
    <t>fixed_leg_tenor</t>
  </si>
  <si>
    <t>fixed_leg_calendar</t>
  </si>
  <si>
    <t>fixed_leg_convention</t>
  </si>
  <si>
    <t>fixed_leg_termination_date_convention</t>
  </si>
  <si>
    <t>fixed_leg_date_gen_rule</t>
  </si>
  <si>
    <t>fixed_leg_end_of_month</t>
  </si>
  <si>
    <t>fixed_leg_first_date</t>
  </si>
  <si>
    <t>fixed_leg_next_to_last_date</t>
  </si>
  <si>
    <t>fixed_leg_day_count</t>
  </si>
  <si>
    <t>floating_leg_tenor</t>
  </si>
  <si>
    <t>floating_leg_calendar</t>
  </si>
  <si>
    <t>floating_leg_convention</t>
  </si>
  <si>
    <t>floating_leg_termination_date_convention</t>
  </si>
  <si>
    <t>floating_leg_date_gen_rule</t>
  </si>
  <si>
    <t>floating_leg_end_of_month</t>
  </si>
  <si>
    <t>floating_leg_first_date</t>
  </si>
  <si>
    <t>floating_leg_next_to_last_date</t>
  </si>
  <si>
    <t>floating_leg_day_count</t>
  </si>
  <si>
    <t>floating_leg_spread</t>
  </si>
  <si>
    <t>discounting_term_structure</t>
  </si>
  <si>
    <t>pricing_engine</t>
  </si>
  <si>
    <t>indexed_coupons</t>
  </si>
  <si>
    <t>at_par_coupons</t>
  </si>
  <si>
    <t>Forward</t>
  </si>
  <si>
    <t>fwd_start</t>
  </si>
  <si>
    <t>fixed_leg_rule</t>
  </si>
  <si>
    <t>overnight_leg_rule</t>
  </si>
  <si>
    <t>payment_frequency</t>
  </si>
  <si>
    <t>fixed_leg_payment_frequency</t>
  </si>
  <si>
    <t>overnight_leg_payment_frequency</t>
  </si>
  <si>
    <t>payment_adjustment_convention</t>
  </si>
  <si>
    <t>overnight_leg_calendar</t>
  </si>
  <si>
    <t>overnight_leg_convention</t>
  </si>
  <si>
    <t>termination_date_convention</t>
  </si>
  <si>
    <t>overnight_leg_termination_date_convention</t>
  </si>
  <si>
    <t>end_of_month</t>
  </si>
  <si>
    <t>overnight_leg_end_of_month</t>
  </si>
  <si>
    <t>overnight_leg_spread</t>
  </si>
  <si>
    <t>qlMakeOIS</t>
  </si>
  <si>
    <t>forward</t>
  </si>
  <si>
    <t>quarterly</t>
  </si>
  <si>
    <t>bond (ql.Bond)</t>
  </si>
  <si>
    <t>qlFixedVsFloatingSwapType</t>
  </si>
  <si>
    <t>qlFixedVsFloatingSwapNominal</t>
  </si>
  <si>
    <t>qlFixedVsFloatingSwapNominals</t>
  </si>
  <si>
    <t>qlFixedVsFloatingSwapFixedNominals</t>
  </si>
  <si>
    <t>qlFixedVsFloatingSwapFixedSchedule</t>
  </si>
  <si>
    <t>qlFixedVsFloatingSwapFixedRate</t>
  </si>
  <si>
    <t>qlFixedVsFloatingSwapFixedDayCount</t>
  </si>
  <si>
    <t>qlFixedVsFloatingSwapFloatingNominals</t>
  </si>
  <si>
    <t>qlFixedVsFloatingSwapIborIndex</t>
  </si>
  <si>
    <t>qlFixedVsFloatingSwapFloatingSchedule</t>
  </si>
  <si>
    <t>qlFixedVsFloatingSwapSpread</t>
  </si>
  <si>
    <t>qlFixedVsFloatingSwapFloatingDayCount</t>
  </si>
  <si>
    <t>qlFixedVsFloatingSwapPaymentConvention</t>
  </si>
  <si>
    <t>qlFixedVsFloatingSwapFixedLeg</t>
  </si>
  <si>
    <t>qlFixedVsFloatingSwapFloatingLeg</t>
  </si>
  <si>
    <t>qlFixedVsFloatingSwapFixedLegBPS</t>
  </si>
  <si>
    <t>qlFixedVsFloatingSwapFixedLegNPV</t>
  </si>
  <si>
    <t>qlFixedVsFloatingSwapFairRate</t>
  </si>
  <si>
    <t>qlFixedVsFloatingSwapFloatingLegBPS</t>
  </si>
  <si>
    <t>qlFixedVsFloatingSwapFloatingLegNPV</t>
  </si>
  <si>
    <t>qlFixedVsFloatingSwapFairSpread</t>
  </si>
  <si>
    <t>qlInstrumentSetPricingEngine</t>
  </si>
  <si>
    <t>MultipleResetsSwap</t>
  </si>
  <si>
    <t>MakeMultipleResetsSwap</t>
  </si>
  <si>
    <t>TARGET</t>
  </si>
  <si>
    <t>full_reset_schedule</t>
  </si>
  <si>
    <t>resets_per_coupon</t>
  </si>
  <si>
    <t>qlMultipleResetsSwap</t>
  </si>
  <si>
    <t>Payer</t>
  </si>
  <si>
    <t>30/360 (BOND BASIS)</t>
  </si>
  <si>
    <t>Compound</t>
  </si>
  <si>
    <t>qlMultipleResetsSwapFullResetSchedule</t>
  </si>
  <si>
    <t>qlMultipleResetsSwapResetsPerCoupon</t>
  </si>
  <si>
    <t>qlMultipleResetsSwapAveragingMethod</t>
  </si>
  <si>
    <t>fixed_leg_frequency</t>
  </si>
  <si>
    <t>Annual</t>
  </si>
  <si>
    <t>1Y</t>
  </si>
  <si>
    <t>0D</t>
  </si>
  <si>
    <t>{=qlNonstandardSwapFixedNominal(B39)}</t>
  </si>
  <si>
    <t>{=qlNonstandardSwapFloatingNominal(B39)}</t>
  </si>
  <si>
    <t>{=qlNonstandardSwapFixedRate(B39)}</t>
  </si>
  <si>
    <t>{=qlNonstandardSwapSpreads(B39)}</t>
  </si>
  <si>
    <t>{=qlNonstandardSwapGearings(B39)}</t>
  </si>
  <si>
    <t>qlConstNotionalCrossCurrencySwap</t>
  </si>
  <si>
    <t>qlConstNotionalCrossCurrencySwapN</t>
  </si>
  <si>
    <t>first_currency</t>
  </si>
  <si>
    <t>second_currency</t>
  </si>
  <si>
    <t>qlConstNotionalCrossCurrencySwapLegCurrency</t>
  </si>
  <si>
    <t>qlConstNotionalCrossCurrencySwapInCcyLegNPV</t>
  </si>
  <si>
    <t>qlConstNotionalCrossCurrencySwapInCcyLegBPS</t>
  </si>
  <si>
    <t>qlConstNotionalCrossCurrencyFixedVsFloatingSwap</t>
  </si>
  <si>
    <t>qlConstNotionalCrossCurrencyFixedVsFloatingSwapFairRate</t>
  </si>
  <si>
    <t>qlConstNotionalCrossCurrencyFixedVsFloatingSwapFairSpread</t>
  </si>
  <si>
    <t>qlConstNotionalCrossCurrencyBasisSwap</t>
  </si>
  <si>
    <t>qlConstNotionalCrossCurrencyBasisSwapFairPaySpread</t>
  </si>
  <si>
    <t>qlConstNotionalCrossCurrencyBasisSwapFairReceiveSpread</t>
  </si>
  <si>
    <t>qlDiscountingConstNotionalCrossCurrencySwapEngine</t>
  </si>
  <si>
    <t>end_date</t>
  </si>
  <si>
    <t>USD</t>
  </si>
  <si>
    <t>domestic_currency</t>
  </si>
  <si>
    <t>domestic_discount_curve</t>
  </si>
  <si>
    <t>foreign_currency</t>
  </si>
  <si>
    <t>foreign_discount_curve</t>
  </si>
  <si>
    <t>spot_fx</t>
  </si>
  <si>
    <t>spot_fx_settle_date</t>
  </si>
  <si>
    <t>SetPricingEngine</t>
  </si>
  <si>
    <t>currencies</t>
  </si>
  <si>
    <t>fixed_currency</t>
  </si>
  <si>
    <t>fixed_payment_convention</t>
  </si>
  <si>
    <t>fixed_payment_lag</t>
  </si>
  <si>
    <t>fixed_payment_calendar</t>
  </si>
  <si>
    <t>float_nominal</t>
  </si>
  <si>
    <t>float_currency</t>
  </si>
  <si>
    <t>float_index</t>
  </si>
  <si>
    <t>float_spread</t>
  </si>
  <si>
    <t>float_payment_convention</t>
  </si>
  <si>
    <t>float_payment_lag</t>
  </si>
  <si>
    <t>float_payment_calendar</t>
  </si>
  <si>
    <t>float_compound_spread</t>
  </si>
  <si>
    <t>float_lookback_days</t>
  </si>
  <si>
    <t>float_observation_shift</t>
  </si>
  <si>
    <t>float_lockout_days</t>
  </si>
  <si>
    <t>float_averaging_method</t>
  </si>
  <si>
    <t>Actual365Fixed</t>
  </si>
  <si>
    <t>6M</t>
  </si>
  <si>
    <t>curve</t>
  </si>
  <si>
    <t>date</t>
  </si>
  <si>
    <t>value</t>
  </si>
  <si>
    <t>IndexAddFixing</t>
  </si>
  <si>
    <t>pay_nominal</t>
  </si>
  <si>
    <t>pay_currency</t>
  </si>
  <si>
    <t>pay_schedule</t>
  </si>
  <si>
    <t>pay_index</t>
  </si>
  <si>
    <t>pay_spread</t>
  </si>
  <si>
    <t>pay_gearing</t>
  </si>
  <si>
    <t>receive_nominal</t>
  </si>
  <si>
    <t>receive_currency</t>
  </si>
  <si>
    <t>receive_schedule</t>
  </si>
  <si>
    <t>receive_index</t>
  </si>
  <si>
    <t>receive_spread</t>
  </si>
  <si>
    <t>receive_gearing</t>
  </si>
  <si>
    <t>pay_payment_lag</t>
  </si>
  <si>
    <t>receive_payment_lag</t>
  </si>
  <si>
    <t>pay_compound_spread</t>
  </si>
  <si>
    <t>pay_lookback_days</t>
  </si>
  <si>
    <t>pay_observation_shift</t>
  </si>
  <si>
    <t>pay_lockout_days</t>
  </si>
  <si>
    <t>pay_averaging_method</t>
  </si>
  <si>
    <t>receive_compound_spread</t>
  </si>
  <si>
    <t>receive_lookback_days</t>
  </si>
  <si>
    <t>receive_observation_shift</t>
  </si>
  <si>
    <t>receive_lockout_days</t>
  </si>
  <si>
    <t>receive_averaging_method</t>
  </si>
  <si>
    <t xml:space="preserve">date </t>
  </si>
  <si>
    <t>ConstNotionalCrossCurrencySwap</t>
  </si>
  <si>
    <t>ConstNotionalCrossCurrencySwapN</t>
  </si>
  <si>
    <t>ConstNotionalCrossCurrencyFixedVsFloatingSwap</t>
  </si>
  <si>
    <t>ConstNotionalCrossCurrencyBasisSwap</t>
  </si>
  <si>
    <t>qlNonstandardSwapPaymentLag</t>
  </si>
  <si>
    <t>qlNonstandardSwapPaymentCalendar</t>
  </si>
  <si>
    <t>libor_schedule</t>
  </si>
  <si>
    <t>libor_fraction</t>
  </si>
  <si>
    <t>libor_spread</t>
  </si>
  <si>
    <t>libor_index</t>
  </si>
  <si>
    <t>libor_day_count</t>
  </si>
  <si>
    <t>bma_schedule</t>
  </si>
  <si>
    <t>bma_index</t>
  </si>
  <si>
    <t>bma_day_count</t>
  </si>
  <si>
    <t>Act/360</t>
  </si>
  <si>
    <t>qlBMASwap</t>
  </si>
  <si>
    <t>qlBMASwapLiborFraction</t>
  </si>
  <si>
    <t>qlBMASwapLiborSpread</t>
  </si>
  <si>
    <t>qlBMASwapNominal</t>
  </si>
  <si>
    <t>qlBMASwapType</t>
  </si>
  <si>
    <t>qlBMASwapBmaLeg</t>
  </si>
  <si>
    <t>qlBMASwapLiborLeg</t>
  </si>
  <si>
    <t>fx_base_nominal</t>
  </si>
  <si>
    <t>fx_base_currency</t>
  </si>
  <si>
    <t>fx_base_schedule</t>
  </si>
  <si>
    <t>fx_base_index</t>
  </si>
  <si>
    <t>fx_base_spread</t>
  </si>
  <si>
    <t>fx_base_gearing</t>
  </si>
  <si>
    <t>fx_quote_nominal</t>
  </si>
  <si>
    <t>fx_quote_currency</t>
  </si>
  <si>
    <t>fx_quote_schedule</t>
  </si>
  <si>
    <t>fx_quote_index</t>
  </si>
  <si>
    <t>fx_quote_spread</t>
  </si>
  <si>
    <t>fx_quote_gearing</t>
  </si>
  <si>
    <t>is_fx_base_currency_leg_resettable</t>
  </si>
  <si>
    <t>fx_reset_fixing_days</t>
  </si>
  <si>
    <t>fx_reset_fixing_calendar</t>
  </si>
  <si>
    <t>fx_base_payment_lag</t>
  </si>
  <si>
    <t>fx_quote_payment_lag</t>
  </si>
  <si>
    <t>fx_base_payment_convention</t>
  </si>
  <si>
    <t>fx_quote_payment_convention</t>
  </si>
  <si>
    <t>fx_base_compound_spread</t>
  </si>
  <si>
    <t>fx_base_lookback_days</t>
  </si>
  <si>
    <t>fx_base_observation_shift</t>
  </si>
  <si>
    <t>fx_base_lockout_days</t>
  </si>
  <si>
    <t>fx_base_averaging_method</t>
  </si>
  <si>
    <t>fx_quote_compound_spread</t>
  </si>
  <si>
    <t>fx_quote_lookback_days</t>
  </si>
  <si>
    <t>fx_quote_observation_shift</t>
  </si>
  <si>
    <t>fx_quote_lockout_days</t>
  </si>
  <si>
    <t>fx_quote_averaging_method</t>
  </si>
  <si>
    <t>use_indexed_coupons</t>
  </si>
  <si>
    <t>fx_base_stub_index_selection</t>
  </si>
  <si>
    <t>fx_quote_stub_index_selection</t>
  </si>
  <si>
    <t>quarterly schedule</t>
  </si>
  <si>
    <t>WeekendsOnly</t>
  </si>
  <si>
    <t>PAYFXBASECURRENCY</t>
  </si>
  <si>
    <t>Euribor curve</t>
  </si>
  <si>
    <t>Sofr curve</t>
  </si>
  <si>
    <t>qlMtMCrossCurrencyBasisSwap</t>
  </si>
  <si>
    <t>Simple</t>
  </si>
  <si>
    <t>qlDiscountingMtMCrossCurrencyBasisSwapEngine</t>
  </si>
  <si>
    <t>qlInstrumentNPV</t>
  </si>
  <si>
    <t>qlMtMCrossCurrencyBasisSwapPaysFxBaseCurrency</t>
  </si>
  <si>
    <t>qlMtMCrossCurrencyBasisSwapFxBaseNominal</t>
  </si>
  <si>
    <t>qlMtMCrossCurrencyBasisSwapFxBaseCurrency</t>
  </si>
  <si>
    <t>qlMtMCrossCurrencyBasisSwapFxBaseSchedule</t>
  </si>
  <si>
    <t>qlMtMCrossCurrencyBasisSwapFxBaseIndex</t>
  </si>
  <si>
    <t>qlMtMCrossCurrencyBasisSwapFxBaseSpread</t>
  </si>
  <si>
    <t>qlMtMCrossCurrencyBasisSwapFxBaseGearing</t>
  </si>
  <si>
    <t>qlMtMCrossCurrencyBasisSwapFxBaseStubIndexSelection</t>
  </si>
  <si>
    <t>qlMtMCrossCurrencyBasisSwapFxQuoteStubIndexSelection</t>
  </si>
  <si>
    <t>qlMtMCrossCurrencyBasisSwapFxQuoteNominal</t>
  </si>
  <si>
    <t>qlMtMCrossCurrencyBasisSwapFxQuoteCurrency</t>
  </si>
  <si>
    <t>qlMtMCrossCurrencyBasisSwapFxQuoteSchedule</t>
  </si>
  <si>
    <t>qlMtMCrossCurrencyBasisSwapFxQuoteIndex</t>
  </si>
  <si>
    <t>qlMtMCrossCurrencyBasisSwapFxQuoteSpread</t>
  </si>
  <si>
    <t>qlMtMCrossCurrencyBasisSwapFxQuoteGearing</t>
  </si>
  <si>
    <t>qlMtMCrossCurrencyBasisSwapPayNominal</t>
  </si>
  <si>
    <t>qlMtMCrossCurrencyBasisSwapPayCurrency</t>
  </si>
  <si>
    <t>qlMtMCrossCurrencyBasisSwapPaySchedule</t>
  </si>
  <si>
    <t>qlMtMCrossCurrencyBasisSwapPayIndex</t>
  </si>
  <si>
    <t>qlMtMCrossCurrencyBasisSwapPaySpread</t>
  </si>
  <si>
    <t>qlMtMCrossCurrencyBasisSwapPayGearing</t>
  </si>
  <si>
    <t>qlMtMCrossCurrencyBasisSwapRecNominal</t>
  </si>
  <si>
    <t>qlMtMCrossCurrencyBasisSwapRecCurrency</t>
  </si>
  <si>
    <t>qlMtMCrossCurrencyBasisSwapRecSchedule</t>
  </si>
  <si>
    <t>qlMtMCrossCurrencyBasisSwapRecIndex</t>
  </si>
  <si>
    <t>qlMtMCrossCurrencyBasisSwapRecSpread</t>
  </si>
  <si>
    <t>qlMtMCrossCurrencyBasisSwapRecGearing</t>
  </si>
  <si>
    <t>qlMtMCrossCurrencyBasisSwapIsFxBaseCurrencyLegResettable</t>
  </si>
  <si>
    <t>qlMtMCrossCurrencyBasisSwapResettingLegIndex</t>
  </si>
  <si>
    <t>qlMtMCrossCurrencyBasisSwapConstantLegIndex</t>
  </si>
  <si>
    <t>qlMtMCrossCurrencyBasisSwapResettingLeg</t>
  </si>
  <si>
    <t>qlMtMCrossCurrencyBasisSwapConstantLeg</t>
  </si>
  <si>
    <t>qlMtMCrossCurrencyBasisSwapLegCurrency</t>
  </si>
  <si>
    <t>qlMtMCrossCurrencyBasisSwapInCcyLegNPV</t>
  </si>
  <si>
    <t>qlMtMCrossCurrencyBasisSwapConstantLegNotional</t>
  </si>
  <si>
    <t>qlMtMCrossCurrencyBasisSwapFxResetFixingDays</t>
  </si>
  <si>
    <t>qlMtMCrossCurrencyBasisSwapFxResetFixingCalendar</t>
  </si>
  <si>
    <t>qlMtMCrossCurrencyBasisSwapFxBasePaymentConvention</t>
  </si>
  <si>
    <t>qlMtMCrossCurrencyBasisSwapFxQuotePaymentConvention</t>
  </si>
  <si>
    <t>qlMtMCrossCurrencyBasisSwapFxResetRates</t>
  </si>
  <si>
    <t>qlMtMCrossCurrencyBasisSwapFxResetNotionals</t>
  </si>
  <si>
    <t>qlMtMCrossCurrencyBasisSwapFairFxBaseSpread</t>
  </si>
  <si>
    <t>qlMtMCrossCurrencyBasisSwapFairFxQuoteSpread</t>
  </si>
  <si>
    <t>qlMtMCrossCurrencyBasisSwapFairPaySpread</t>
  </si>
  <si>
    <t>qlMtMCrossCurrencyBasisSwapFairRecSpread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</si>
</sst>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,\ yyyy\-mm\-dd"/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0" borderId="0" xfId="0" applyFont="1" applyBorder="1" applyAlignme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Fill="1"/>
    <xf numFmtId="0" fontId="5" fillId="0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3" fillId="0" borderId="4" xfId="0" applyFont="1" applyBorder="1"/>
    <xf numFmtId="14" fontId="0" fillId="0" borderId="5" xfId="0" applyNumberFormat="1" applyBorder="1" applyAlignment="1">
      <alignment horizontal="left"/>
    </xf>
    <xf numFmtId="0" fontId="3" fillId="0" borderId="6" xfId="0" applyFont="1" applyBorder="1"/>
    <xf numFmtId="0" fontId="0" fillId="0" borderId="7" xfId="0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0" fontId="2" fillId="0" borderId="8" xfId="0" applyFont="1" applyBorder="1"/>
    <xf numFmtId="0" fontId="0" fillId="0" borderId="6" xfId="0" applyBorder="1" applyAlignment="1">
      <alignment wrapText="1"/>
    </xf>
    <xf numFmtId="0" fontId="0" fillId="0" borderId="6" xfId="0" applyBorder="1" applyAlignment="1"/>
    <xf numFmtId="0" fontId="0" fillId="0" borderId="8" xfId="0" applyBorder="1" applyAlignment="1"/>
    <xf numFmtId="0" fontId="0" fillId="0" borderId="5" xfId="0" applyBorder="1" applyAlignment="1">
      <alignment horizontal="left"/>
    </xf>
    <xf numFmtId="0" fontId="2" fillId="0" borderId="10" xfId="0" applyFont="1" applyBorder="1"/>
    <xf numFmtId="0" fontId="0" fillId="0" borderId="11" xfId="0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0" fillId="0" borderId="6" xfId="0" applyFont="1" applyBorder="1"/>
    <xf numFmtId="0" fontId="4" fillId="0" borderId="7" xfId="0" applyFont="1" applyBorder="1" applyAlignment="1">
      <alignment horizontal="left"/>
    </xf>
    <xf numFmtId="0" fontId="2" fillId="0" borderId="6" xfId="0" applyFont="1" applyBorder="1"/>
    <xf numFmtId="0" fontId="6" fillId="0" borderId="8" xfId="0" applyFont="1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3" fillId="0" borderId="6" xfId="0" applyFont="1" applyBorder="1" applyAlignment="1"/>
    <xf numFmtId="0" fontId="3" fillId="0" borderId="7" xfId="0" applyFont="1" applyBorder="1" applyAlignment="1">
      <alignment horizontal="left"/>
    </xf>
    <xf numFmtId="14" fontId="0" fillId="0" borderId="9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3" xfId="0" applyBorder="1" applyAlignment="1">
      <alignment horizontal="left"/>
    </xf>
    <xf numFmtId="0" fontId="4" fillId="0" borderId="4" xfId="0" applyFont="1" applyBorder="1"/>
    <xf numFmtId="0" fontId="4" fillId="0" borderId="6" xfId="0" applyFont="1" applyBorder="1"/>
    <xf numFmtId="0" fontId="0" fillId="0" borderId="14" xfId="0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6" fillId="0" borderId="10" xfId="0" applyFont="1" applyBorder="1"/>
    <xf numFmtId="0" fontId="4" fillId="0" borderId="0" xfId="0" applyFont="1" applyBorder="1" applyAlignment="1">
      <alignment horizontal="left"/>
    </xf>
    <xf numFmtId="0" fontId="6" fillId="0" borderId="6" xfId="0" applyFont="1" applyBorder="1"/>
    <xf numFmtId="0" fontId="0" fillId="0" borderId="10" xfId="0" applyFont="1" applyBorder="1"/>
    <xf numFmtId="0" fontId="3" fillId="0" borderId="4" xfId="0" applyFont="1" applyBorder="1" applyAlignment="1"/>
    <xf numFmtId="0" fontId="3" fillId="0" borderId="5" xfId="0" applyFont="1" applyBorder="1" applyAlignment="1">
      <alignment horizontal="left"/>
    </xf>
    <xf numFmtId="0" fontId="3" fillId="0" borderId="8" xfId="0" applyFont="1" applyBorder="1" applyAlignment="1"/>
    <xf numFmtId="0" fontId="3" fillId="0" borderId="9" xfId="0" applyFont="1" applyBorder="1" applyAlignment="1">
      <alignment horizontal="left"/>
    </xf>
    <xf numFmtId="0" fontId="3" fillId="0" borderId="8" xfId="0" applyFont="1" applyBorder="1"/>
    <xf numFmtId="0" fontId="0" fillId="0" borderId="4" xfId="0" applyBorder="1" applyAlignment="1"/>
    <xf numFmtId="0" fontId="2" fillId="0" borderId="4" xfId="0" applyFont="1" applyBorder="1" applyAlignment="1"/>
    <xf numFmtId="0" fontId="2" fillId="0" borderId="8" xfId="0" applyFont="1" applyBorder="1" applyAlignment="1"/>
    <xf numFmtId="0" fontId="0" fillId="0" borderId="13" xfId="0" quotePrefix="1" applyBorder="1" applyAlignment="1">
      <alignment horizontal="left"/>
    </xf>
    <xf numFmtId="0" fontId="0" fillId="0" borderId="9" xfId="0" quotePrefix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2" fillId="0" borderId="10" xfId="0" applyFont="1" applyFill="1" applyBorder="1"/>
    <xf numFmtId="0" fontId="0" fillId="0" borderId="14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2" fillId="0" borderId="6" xfId="0" applyFont="1" applyBorder="1" applyAlignment="1"/>
    <xf numFmtId="0" fontId="0" fillId="0" borderId="0" xfId="0" quotePrefix="1" applyBorder="1" applyAlignment="1">
      <alignment horizontal="left"/>
    </xf>
    <xf numFmtId="0" fontId="0" fillId="0" borderId="7" xfId="0" quotePrefix="1" applyBorder="1" applyAlignment="1">
      <alignment horizontal="left"/>
    </xf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8" xfId="0" applyFont="1" applyBorder="1" applyAlignment="1"/>
    <xf numFmtId="0" fontId="0" fillId="0" borderId="4" xfId="0" applyFont="1" applyBorder="1"/>
    <xf numFmtId="0" fontId="3" fillId="0" borderId="4" xfId="0" applyFont="1" applyFill="1" applyBorder="1"/>
    <xf numFmtId="0" fontId="6" fillId="0" borderId="4" xfId="0" applyFont="1" applyBorder="1"/>
    <xf numFmtId="14" fontId="0" fillId="0" borderId="12" xfId="0" applyNumberFormat="1" applyBorder="1" applyAlignment="1">
      <alignment horizontal="left"/>
    </xf>
    <xf numFmtId="0" fontId="0" fillId="0" borderId="11" xfId="0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0" fontId="2" fillId="0" borderId="1" xfId="0" applyFont="1" applyBorder="1" applyAlignment="1"/>
    <xf numFmtId="0" fontId="0" fillId="0" borderId="3" xfId="0" applyBorder="1"/>
    <xf numFmtId="0" fontId="0" fillId="0" borderId="17" xfId="0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" xfId="0" applyFont="1" applyBorder="1"/>
    <xf numFmtId="0" fontId="0" fillId="0" borderId="7" xfId="0" applyNumberFormat="1" applyBorder="1" applyAlignment="1">
      <alignment horizontal="left"/>
    </xf>
    <xf numFmtId="0" fontId="2" fillId="0" borderId="0" xfId="0" applyFont="1"/>
    <xf numFmtId="0" fontId="3" fillId="0" borderId="6" xfId="0" applyFont="1" applyFill="1" applyBorder="1"/>
    <xf numFmtId="0" fontId="0" fillId="0" borderId="15" xfId="0" applyBorder="1" applyAlignment="1">
      <alignment horizontal="center"/>
    </xf>
    <xf numFmtId="0" fontId="0" fillId="0" borderId="1" xfId="0" applyBorder="1"/>
    <xf numFmtId="0" fontId="0" fillId="0" borderId="17" xfId="0" applyBorder="1"/>
    <xf numFmtId="0" fontId="0" fillId="0" borderId="16" xfId="0" applyBorder="1"/>
    <xf numFmtId="0" fontId="4" fillId="0" borderId="18" xfId="0" applyFont="1" applyBorder="1"/>
    <xf numFmtId="0" fontId="4" fillId="0" borderId="19" xfId="0" applyFont="1" applyBorder="1"/>
    <xf numFmtId="0" fontId="4" fillId="0" borderId="19" xfId="0" applyFont="1" applyFill="1" applyBorder="1"/>
    <xf numFmtId="0" fontId="0" fillId="0" borderId="19" xfId="0" applyBorder="1"/>
    <xf numFmtId="0" fontId="0" fillId="0" borderId="20" xfId="0" applyBorder="1"/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Fill="1" applyBorder="1" applyAlignment="1">
      <alignment horizontal="center"/>
    </xf>
    <xf numFmtId="10" fontId="0" fillId="0" borderId="0" xfId="0" applyNumberFormat="1" applyAlignment="1">
      <alignment horizontal="left"/>
    </xf>
    <xf numFmtId="0" fontId="0" fillId="0" borderId="0" xfId="0" applyBorder="1"/>
    <xf numFmtId="164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5B13-35C0-4BE3-9424-8317D3F6D122}">
  <dimension ref="A1:E20"/>
  <sheetViews>
    <sheetView workbookViewId="0"/>
  </sheetViews>
  <sheetFormatPr defaultColWidth="11.5546875" defaultRowHeight="14.4" x14ac:dyDescent="0.3"/>
  <cols>
    <col min="1" max="1" width="11.44140625" style="6"/>
    <col min="2" max="2" width="47.88671875" bestFit="1" customWidth="1"/>
    <col min="3" max="3" width="46" customWidth="1"/>
    <col min="4" max="4" width="50.109375" bestFit="1" customWidth="1"/>
  </cols>
  <sheetData>
    <row r="1" spans="1:5" ht="15" thickBot="1" x14ac:dyDescent="0.35"/>
    <row r="2" spans="1:5" x14ac:dyDescent="0.3">
      <c r="B2" s="103" t="s">
        <v>11</v>
      </c>
      <c r="C2" s="74" t="s">
        <v>12</v>
      </c>
      <c r="D2" s="75"/>
      <c r="E2" s="1"/>
    </row>
    <row r="3" spans="1:5" ht="15" thickBot="1" x14ac:dyDescent="0.35">
      <c r="B3" s="104"/>
      <c r="C3" s="79" t="s">
        <v>4</v>
      </c>
      <c r="D3" s="80" t="s">
        <v>331</v>
      </c>
    </row>
    <row r="4" spans="1:5" x14ac:dyDescent="0.3">
      <c r="B4" s="88" t="s">
        <v>0</v>
      </c>
      <c r="C4" s="84" t="s">
        <v>133</v>
      </c>
      <c r="D4" s="85"/>
    </row>
    <row r="5" spans="1:5" x14ac:dyDescent="0.3">
      <c r="B5" s="89" t="s">
        <v>1</v>
      </c>
      <c r="C5" s="77" t="s">
        <v>133</v>
      </c>
      <c r="D5" s="76"/>
    </row>
    <row r="6" spans="1:5" x14ac:dyDescent="0.3">
      <c r="B6" s="90" t="s">
        <v>2</v>
      </c>
      <c r="C6" s="78" t="s">
        <v>133</v>
      </c>
      <c r="D6" s="76"/>
    </row>
    <row r="7" spans="1:5" x14ac:dyDescent="0.3">
      <c r="B7" s="89" t="s">
        <v>3</v>
      </c>
      <c r="C7" s="77" t="s">
        <v>133</v>
      </c>
      <c r="D7" s="76"/>
    </row>
    <row r="8" spans="1:5" x14ac:dyDescent="0.3">
      <c r="B8" s="89" t="s">
        <v>5</v>
      </c>
      <c r="C8" s="77" t="s">
        <v>133</v>
      </c>
      <c r="D8" s="76"/>
    </row>
    <row r="9" spans="1:5" x14ac:dyDescent="0.3">
      <c r="B9" s="90" t="s">
        <v>6</v>
      </c>
      <c r="C9" s="78" t="s">
        <v>133</v>
      </c>
      <c r="D9" s="76"/>
    </row>
    <row r="10" spans="1:5" x14ac:dyDescent="0.3">
      <c r="A10" s="7"/>
      <c r="B10" s="89" t="s">
        <v>15</v>
      </c>
      <c r="C10" s="77" t="s">
        <v>133</v>
      </c>
      <c r="D10" s="76"/>
    </row>
    <row r="11" spans="1:5" x14ac:dyDescent="0.3">
      <c r="B11" s="90" t="s">
        <v>7</v>
      </c>
      <c r="C11" s="78" t="s">
        <v>133</v>
      </c>
      <c r="D11" s="76"/>
    </row>
    <row r="12" spans="1:5" x14ac:dyDescent="0.3">
      <c r="B12" s="90" t="s">
        <v>297</v>
      </c>
      <c r="C12" s="78" t="s">
        <v>133</v>
      </c>
      <c r="D12" s="76"/>
    </row>
    <row r="13" spans="1:5" x14ac:dyDescent="0.3">
      <c r="B13" s="90" t="s">
        <v>298</v>
      </c>
      <c r="C13" s="78" t="s">
        <v>133</v>
      </c>
      <c r="D13" s="76"/>
    </row>
    <row r="14" spans="1:5" x14ac:dyDescent="0.3">
      <c r="B14" s="89" t="s">
        <v>8</v>
      </c>
      <c r="C14" s="77"/>
      <c r="D14" s="76"/>
    </row>
    <row r="15" spans="1:5" x14ac:dyDescent="0.3">
      <c r="B15" s="89" t="s">
        <v>9</v>
      </c>
      <c r="C15" s="77" t="s">
        <v>133</v>
      </c>
      <c r="D15" s="76"/>
    </row>
    <row r="16" spans="1:5" x14ac:dyDescent="0.3">
      <c r="B16" s="89" t="s">
        <v>10</v>
      </c>
      <c r="C16" s="77" t="s">
        <v>133</v>
      </c>
      <c r="D16" s="76"/>
    </row>
    <row r="17" spans="2:4" x14ac:dyDescent="0.3">
      <c r="B17" s="91" t="s">
        <v>389</v>
      </c>
      <c r="C17" s="86"/>
      <c r="D17" s="93" t="s">
        <v>133</v>
      </c>
    </row>
    <row r="18" spans="2:4" x14ac:dyDescent="0.3">
      <c r="B18" s="91" t="s">
        <v>390</v>
      </c>
      <c r="C18" s="86"/>
      <c r="D18" s="94" t="s">
        <v>133</v>
      </c>
    </row>
    <row r="19" spans="2:4" x14ac:dyDescent="0.3">
      <c r="B19" s="91" t="s">
        <v>391</v>
      </c>
      <c r="C19" s="86"/>
      <c r="D19" s="94" t="s">
        <v>133</v>
      </c>
    </row>
    <row r="20" spans="2:4" ht="15" thickBot="1" x14ac:dyDescent="0.35">
      <c r="B20" s="92" t="s">
        <v>392</v>
      </c>
      <c r="C20" s="87"/>
      <c r="D20" s="95" t="s">
        <v>133</v>
      </c>
    </row>
  </sheetData>
  <mergeCells count="1">
    <mergeCell ref="B2:B3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42FA-A5AC-4FDB-BC9F-1212AB11464D}">
  <dimension ref="A1:E8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7.88671875" customWidth="1"/>
    <col min="2" max="2" width="55.88671875" style="4" customWidth="1"/>
    <col min="3" max="3" width="36.88671875" style="4" customWidth="1"/>
    <col min="4" max="5" width="11.44140625" style="4"/>
  </cols>
  <sheetData>
    <row r="1" spans="1:2" x14ac:dyDescent="0.3">
      <c r="A1" s="30" t="s">
        <v>13</v>
      </c>
      <c r="B1" s="13">
        <v>45665</v>
      </c>
    </row>
    <row r="2" spans="1:2" x14ac:dyDescent="0.3">
      <c r="A2" s="32" t="s">
        <v>14</v>
      </c>
      <c r="B2" s="35">
        <f>_xll.qlSettingsSetEvaluationDate(B1)</f>
        <v>45665</v>
      </c>
    </row>
    <row r="4" spans="1:2" x14ac:dyDescent="0.3">
      <c r="A4" s="12" t="s">
        <v>26</v>
      </c>
      <c r="B4" s="13">
        <v>46030</v>
      </c>
    </row>
    <row r="5" spans="1:2" x14ac:dyDescent="0.3">
      <c r="A5" s="14" t="s">
        <v>27</v>
      </c>
      <c r="B5" s="15">
        <v>100</v>
      </c>
    </row>
    <row r="6" spans="1:2" x14ac:dyDescent="0.3">
      <c r="A6" s="14" t="s">
        <v>28</v>
      </c>
      <c r="B6" s="16">
        <v>46395</v>
      </c>
    </row>
    <row r="7" spans="1:2" x14ac:dyDescent="0.3">
      <c r="A7" s="52" t="s">
        <v>29</v>
      </c>
      <c r="B7" s="17">
        <v>100</v>
      </c>
    </row>
    <row r="8" spans="1:2" x14ac:dyDescent="0.3">
      <c r="A8" s="12" t="s">
        <v>30</v>
      </c>
      <c r="B8" s="13">
        <v>45816</v>
      </c>
    </row>
    <row r="9" spans="1:2" x14ac:dyDescent="0.3">
      <c r="A9" s="14" t="s">
        <v>31</v>
      </c>
      <c r="B9" s="15">
        <v>-50</v>
      </c>
    </row>
    <row r="10" spans="1:2" x14ac:dyDescent="0.3">
      <c r="A10" s="14" t="s">
        <v>32</v>
      </c>
      <c r="B10" s="16">
        <v>46030</v>
      </c>
    </row>
    <row r="11" spans="1:2" x14ac:dyDescent="0.3">
      <c r="A11" s="14" t="s">
        <v>33</v>
      </c>
      <c r="B11" s="15">
        <v>-50</v>
      </c>
    </row>
    <row r="12" spans="1:2" x14ac:dyDescent="0.3">
      <c r="A12" s="14" t="s">
        <v>34</v>
      </c>
      <c r="B12" s="16">
        <v>46181</v>
      </c>
    </row>
    <row r="13" spans="1:2" x14ac:dyDescent="0.3">
      <c r="A13" s="14" t="s">
        <v>35</v>
      </c>
      <c r="B13" s="15">
        <v>-50</v>
      </c>
    </row>
    <row r="14" spans="1:2" x14ac:dyDescent="0.3">
      <c r="A14" s="14" t="s">
        <v>36</v>
      </c>
      <c r="B14" s="16">
        <v>46395</v>
      </c>
    </row>
    <row r="15" spans="1:2" x14ac:dyDescent="0.3">
      <c r="A15" s="52" t="s">
        <v>37</v>
      </c>
      <c r="B15" s="17">
        <v>-50</v>
      </c>
    </row>
    <row r="16" spans="1:2" x14ac:dyDescent="0.3">
      <c r="A16" s="20" t="s">
        <v>38</v>
      </c>
      <c r="B16" s="15" t="str">
        <f>_xll.qlSimpleCashFlow(B5,B4)</f>
        <v>欣[test_swap.xlsx]Swap!R16C2SimpleCashFlow,A</v>
      </c>
    </row>
    <row r="17" spans="1:2" x14ac:dyDescent="0.3">
      <c r="A17" s="21" t="s">
        <v>38</v>
      </c>
      <c r="B17" s="17" t="str">
        <f>_xll.qlSimpleCashFlow(B7,B6)</f>
        <v>欣[test_swap.xlsx]Swap!R17C2SimpleCashFlow,A</v>
      </c>
    </row>
    <row r="18" spans="1:2" x14ac:dyDescent="0.3">
      <c r="A18" s="19" t="s">
        <v>39</v>
      </c>
      <c r="B18" s="15" t="str">
        <f>_xll.qlSimpleCashFlow(B9,B8)</f>
        <v>欣[test_swap.xlsx]Swap!R18C2SimpleCashFlow,A</v>
      </c>
    </row>
    <row r="19" spans="1:2" x14ac:dyDescent="0.3">
      <c r="A19" s="19" t="s">
        <v>39</v>
      </c>
      <c r="B19" s="15" t="str">
        <f>_xll.qlSimpleCashFlow(B11,B10)</f>
        <v>欣[test_swap.xlsx]Swap!R19C2SimpleCashFlow,A</v>
      </c>
    </row>
    <row r="20" spans="1:2" x14ac:dyDescent="0.3">
      <c r="A20" s="19" t="s">
        <v>39</v>
      </c>
      <c r="B20" s="15" t="str">
        <f>_xll.qlSimpleCashFlow(B13,B12)</f>
        <v>欣[test_swap.xlsx]Swap!R20C2SimpleCashFlow,A</v>
      </c>
    </row>
    <row r="21" spans="1:2" x14ac:dyDescent="0.3">
      <c r="A21" s="19" t="s">
        <v>39</v>
      </c>
      <c r="B21" s="15" t="str">
        <f>_xll.qlSimpleCashFlow(B15,B14)</f>
        <v>欣[test_swap.xlsx]Swap!R21C2SimpleCashFlow,A</v>
      </c>
    </row>
    <row r="22" spans="1:2" x14ac:dyDescent="0.3">
      <c r="A22" s="18" t="s">
        <v>16</v>
      </c>
      <c r="B22" s="17" t="str">
        <f>_xll.qlSwap(B16:B17,B18:B21)</f>
        <v>欣[test_swap.xlsx]Swap!R22C2Swap,A</v>
      </c>
    </row>
    <row r="23" spans="1:2" x14ac:dyDescent="0.3">
      <c r="A23" s="12" t="s">
        <v>22</v>
      </c>
      <c r="B23" s="22" t="str">
        <f>_xll.qlFlatForward(B2,0.03,"Act/365")</f>
        <v>欣[test_swap.xlsx]Swap!R23C2YieldTermStructureHandle,A</v>
      </c>
    </row>
    <row r="24" spans="1:2" x14ac:dyDescent="0.3">
      <c r="A24" s="14" t="s">
        <v>23</v>
      </c>
      <c r="B24" s="15"/>
    </row>
    <row r="25" spans="1:2" x14ac:dyDescent="0.3">
      <c r="A25" s="14" t="s">
        <v>24</v>
      </c>
      <c r="B25" s="15"/>
    </row>
    <row r="26" spans="1:2" x14ac:dyDescent="0.3">
      <c r="A26" s="14" t="s">
        <v>25</v>
      </c>
      <c r="B26" s="15"/>
    </row>
    <row r="27" spans="1:2" x14ac:dyDescent="0.3">
      <c r="A27" s="18" t="s">
        <v>21</v>
      </c>
      <c r="B27" s="17" t="str">
        <f>_xll.qlDiscountingSwapEngine(B23,B2)</f>
        <v>Error in arg 1 'discount_curve': Cannot convert '欣[test_swap.xlsx]Swap!R23C2YieldTermStructureHandle,A': Expected cache string</v>
      </c>
    </row>
    <row r="28" spans="1:2" x14ac:dyDescent="0.3">
      <c r="A28" s="26" t="s">
        <v>296</v>
      </c>
      <c r="B28" s="27" t="str">
        <f>_xll.qlInstrumentSetPricingEngine(B22,B27)</f>
        <v>Error in arg 1 'instrument': Cannot convert '欣[test_swap.xlsx]Swap!R22C2Swap,A': Expected cache string</v>
      </c>
    </row>
    <row r="29" spans="1:2" x14ac:dyDescent="0.3">
      <c r="A29" s="23" t="s">
        <v>17</v>
      </c>
      <c r="B29" s="24">
        <f>_xll.qlSwapNumberOfLegs(B22)</f>
        <v>2</v>
      </c>
    </row>
    <row r="30" spans="1:2" x14ac:dyDescent="0.3">
      <c r="A30" s="28" t="s">
        <v>18</v>
      </c>
      <c r="B30" s="16">
        <f>_xll.qlSwapStartDate(B22)</f>
        <v>45816</v>
      </c>
    </row>
    <row r="31" spans="1:2" x14ac:dyDescent="0.3">
      <c r="A31" s="23" t="s">
        <v>19</v>
      </c>
      <c r="B31" s="25">
        <f>_xll.qlSwapMaturityDate(B22)</f>
        <v>46395</v>
      </c>
    </row>
    <row r="32" spans="1:2" x14ac:dyDescent="0.3">
      <c r="A32" s="28" t="s">
        <v>219</v>
      </c>
      <c r="B32" s="15" t="str">
        <f>_xll.qlSwapLeg(B22,1)</f>
        <v>欣[test_swap.xlsx]Swap!R32C2CashFlow,A</v>
      </c>
    </row>
    <row r="33" spans="1:2" x14ac:dyDescent="0.3">
      <c r="A33" s="23" t="s">
        <v>220</v>
      </c>
      <c r="B33" s="24" t="str">
        <f>_xll.qlSwapLegNPV(B22,1,B28)</f>
        <v>Error in arg 1 'swap': Cannot convert '欣[test_swap.xlsx]Swap!R22C2Swap,A': Expected cache string</v>
      </c>
    </row>
    <row r="34" spans="1:2" x14ac:dyDescent="0.3">
      <c r="A34" s="28" t="s">
        <v>221</v>
      </c>
      <c r="B34" s="15" t="str">
        <f>_xll.qlSwapLegBPS(B22,1,B28)</f>
        <v>Error in arg 1 'swap': Cannot convert '欣[test_swap.xlsx]Swap!R22C2Swap,A': Expected cache string</v>
      </c>
    </row>
    <row r="35" spans="1:2" x14ac:dyDescent="0.3">
      <c r="A35" s="23" t="s">
        <v>222</v>
      </c>
      <c r="B35" s="24" t="str">
        <f>_xll.qlSwapStartDiscounts(B22,1,B28)</f>
        <v>Error in arg 1 'swap': Cannot convert '欣[test_swap.xlsx]Swap!R22C2Swap,A': Expected cache string</v>
      </c>
    </row>
    <row r="36" spans="1:2" x14ac:dyDescent="0.3">
      <c r="A36" s="28" t="s">
        <v>223</v>
      </c>
      <c r="B36" s="15" t="str">
        <f>_xll.qlSwapEndDiscounts(B22,1,B28)</f>
        <v>Error in arg 1 'swap': Cannot convert '欣[test_swap.xlsx]Swap!R22C2Swap,A': Expected cache string</v>
      </c>
    </row>
    <row r="37" spans="1:2" x14ac:dyDescent="0.3">
      <c r="A37" s="23" t="s">
        <v>20</v>
      </c>
      <c r="B37" s="24" t="str">
        <f>_xll.qlSwapNpvDateDiscount(B22,B28)</f>
        <v>Error in arg 1 'swap': Cannot convert '欣[test_swap.xlsx]Swap!R22C2Swap,A': Expected cache string</v>
      </c>
    </row>
    <row r="38" spans="1:2" x14ac:dyDescent="0.3">
      <c r="A38" s="29" t="s">
        <v>218</v>
      </c>
      <c r="B38" s="17" t="b">
        <f>_xll.qlSwapPayer(B22,0)</f>
        <v>1</v>
      </c>
    </row>
    <row r="42" spans="1:2" x14ac:dyDescent="0.3">
      <c r="A42" s="12" t="s">
        <v>40</v>
      </c>
      <c r="B42" s="22" t="s">
        <v>41</v>
      </c>
    </row>
    <row r="43" spans="1:2" x14ac:dyDescent="0.3">
      <c r="A43" s="14" t="s">
        <v>42</v>
      </c>
      <c r="B43" s="16">
        <v>45755</v>
      </c>
    </row>
    <row r="44" spans="1:2" x14ac:dyDescent="0.3">
      <c r="A44" s="14" t="s">
        <v>43</v>
      </c>
      <c r="B44" s="16">
        <v>46395</v>
      </c>
    </row>
    <row r="45" spans="1:2" x14ac:dyDescent="0.3">
      <c r="A45" s="14" t="s">
        <v>44</v>
      </c>
      <c r="B45" s="15" t="s">
        <v>45</v>
      </c>
    </row>
    <row r="46" spans="1:2" x14ac:dyDescent="0.3">
      <c r="A46" s="14" t="s">
        <v>46</v>
      </c>
      <c r="B46" s="15" t="s">
        <v>47</v>
      </c>
    </row>
    <row r="47" spans="1:2" x14ac:dyDescent="0.3">
      <c r="A47" s="32" t="s">
        <v>50</v>
      </c>
      <c r="B47" s="17" t="str">
        <f>_xll.qlMakeSchedule(B43,B44,B45,,B42,B46)</f>
        <v>欣[test_swap.xlsx]Swap!R47C2Schedule,A</v>
      </c>
    </row>
    <row r="48" spans="1:2" x14ac:dyDescent="0.3">
      <c r="A48" s="31" t="s">
        <v>48</v>
      </c>
      <c r="B48" s="15" t="s">
        <v>49</v>
      </c>
    </row>
    <row r="49" spans="1:5" x14ac:dyDescent="0.3">
      <c r="A49" s="48" t="s">
        <v>51</v>
      </c>
      <c r="B49" s="49">
        <v>100</v>
      </c>
      <c r="C49" s="9"/>
      <c r="D49" s="9"/>
      <c r="E49" s="9"/>
    </row>
    <row r="50" spans="1:5" x14ac:dyDescent="0.3">
      <c r="A50" s="33" t="s">
        <v>51</v>
      </c>
      <c r="B50" s="34">
        <f t="shared" ref="B50:B56" si="0">B49+1</f>
        <v>101</v>
      </c>
      <c r="C50" s="9"/>
      <c r="D50" s="9"/>
      <c r="E50" s="9"/>
    </row>
    <row r="51" spans="1:5" x14ac:dyDescent="0.3">
      <c r="A51" s="33" t="s">
        <v>51</v>
      </c>
      <c r="B51" s="34">
        <f t="shared" si="0"/>
        <v>102</v>
      </c>
      <c r="C51" s="9"/>
      <c r="D51" s="9"/>
      <c r="E51" s="9"/>
    </row>
    <row r="52" spans="1:5" x14ac:dyDescent="0.3">
      <c r="A52" s="33" t="s">
        <v>51</v>
      </c>
      <c r="B52" s="34">
        <f t="shared" si="0"/>
        <v>103</v>
      </c>
      <c r="C52" s="9"/>
      <c r="D52" s="9"/>
      <c r="E52" s="9"/>
    </row>
    <row r="53" spans="1:5" x14ac:dyDescent="0.3">
      <c r="A53" s="33" t="s">
        <v>51</v>
      </c>
      <c r="B53" s="34">
        <f t="shared" si="0"/>
        <v>104</v>
      </c>
      <c r="C53" s="9"/>
      <c r="D53" s="9"/>
      <c r="E53" s="9"/>
    </row>
    <row r="54" spans="1:5" x14ac:dyDescent="0.3">
      <c r="A54" s="33" t="s">
        <v>51</v>
      </c>
      <c r="B54" s="34">
        <f t="shared" si="0"/>
        <v>105</v>
      </c>
      <c r="C54" s="9"/>
      <c r="D54" s="9"/>
      <c r="E54" s="9"/>
    </row>
    <row r="55" spans="1:5" x14ac:dyDescent="0.3">
      <c r="A55" s="33" t="s">
        <v>51</v>
      </c>
      <c r="B55" s="34">
        <f t="shared" si="0"/>
        <v>106</v>
      </c>
      <c r="C55" s="9"/>
      <c r="D55" s="9"/>
      <c r="E55" s="9"/>
    </row>
    <row r="56" spans="1:5" x14ac:dyDescent="0.3">
      <c r="A56" s="50" t="s">
        <v>51</v>
      </c>
      <c r="B56" s="17">
        <f t="shared" si="0"/>
        <v>107</v>
      </c>
      <c r="C56" s="9"/>
      <c r="D56" s="9"/>
      <c r="E56" s="9"/>
    </row>
    <row r="57" spans="1:5" x14ac:dyDescent="0.3">
      <c r="A57" s="48" t="s">
        <v>52</v>
      </c>
      <c r="B57" s="49">
        <v>0.03</v>
      </c>
      <c r="C57" s="9"/>
      <c r="D57" s="9"/>
      <c r="E57" s="9"/>
    </row>
    <row r="58" spans="1:5" x14ac:dyDescent="0.3">
      <c r="A58" s="50" t="s">
        <v>52</v>
      </c>
      <c r="B58" s="51">
        <v>0.02</v>
      </c>
      <c r="C58" s="9"/>
      <c r="D58" s="9"/>
      <c r="E58" s="9"/>
    </row>
    <row r="59" spans="1:5" x14ac:dyDescent="0.3">
      <c r="A59" s="32" t="s">
        <v>53</v>
      </c>
      <c r="B59" s="17" t="str">
        <f>_xll.qlFixedRateLeg(B47,B48,B49:B56,B57:B58)</f>
        <v>欣[test_swap.xlsx]Swap!R59C2CashFlow,A</v>
      </c>
    </row>
    <row r="60" spans="1:5" x14ac:dyDescent="0.3">
      <c r="A60" s="30" t="s">
        <v>55</v>
      </c>
      <c r="B60" s="22" t="str">
        <f>_xll.qlFlatForward(B1,0.03,"actual365fixed","Continuous")</f>
        <v>欣[test_swap.xlsx]Swap!R60C2YieldTermStructureHandle,A</v>
      </c>
    </row>
    <row r="61" spans="1:5" x14ac:dyDescent="0.3">
      <c r="A61" s="32" t="s">
        <v>54</v>
      </c>
      <c r="B61" s="17" t="str">
        <f>_xll.qlEuribor("3m",B60,B2)</f>
        <v>欣[test_swap.xlsx]Swap!R61C2Euribor,A</v>
      </c>
    </row>
    <row r="62" spans="1:5" x14ac:dyDescent="0.3">
      <c r="A62" s="31" t="s">
        <v>56</v>
      </c>
      <c r="B62" s="15" t="str">
        <f>_xll.qlIborLeg(B49,B47,B61)</f>
        <v>欣[test_swap.xlsx]Swap!R62C2CashFlow,A</v>
      </c>
    </row>
    <row r="63" spans="1:5" x14ac:dyDescent="0.3">
      <c r="A63" s="19" t="s">
        <v>57</v>
      </c>
      <c r="B63" s="15" t="str">
        <f>_xll.qlFixedRateLeg(B47,B48,B49:B56,B57:B58)</f>
        <v>欣[test_swap.xlsx]Swap!R63C2CashFlow,A</v>
      </c>
    </row>
    <row r="64" spans="1:5" x14ac:dyDescent="0.3">
      <c r="A64" s="19" t="s">
        <v>57</v>
      </c>
      <c r="B64" s="15" t="str">
        <f>_xll.qlIborLeg(B49,B47,B61)</f>
        <v>欣[test_swap.xlsx]Swap!R64C2CashFlow,A</v>
      </c>
    </row>
    <row r="65" spans="1:2" x14ac:dyDescent="0.3">
      <c r="A65" s="20" t="s">
        <v>58</v>
      </c>
      <c r="B65" s="15" t="b">
        <v>0</v>
      </c>
    </row>
    <row r="66" spans="1:2" x14ac:dyDescent="0.3">
      <c r="A66" s="20" t="s">
        <v>58</v>
      </c>
      <c r="B66" s="15" t="b">
        <v>1</v>
      </c>
    </row>
    <row r="67" spans="1:2" x14ac:dyDescent="0.3">
      <c r="A67" s="18" t="s">
        <v>59</v>
      </c>
      <c r="B67" s="17" t="str">
        <f>_xll.qlSwap2(B63:B64,B65:B66)</f>
        <v>欣[test_swap.xlsx]Swap!R67C2Swap,A</v>
      </c>
    </row>
    <row r="68" spans="1:2" x14ac:dyDescent="0.3">
      <c r="A68" s="12" t="s">
        <v>22</v>
      </c>
      <c r="B68" s="22" t="str">
        <f>_xll.qlFlatForward(B2,0.03,"actual365fixed")</f>
        <v>欣[test_swap.xlsx]Swap!R68C2YieldTermStructureHandle,A</v>
      </c>
    </row>
    <row r="69" spans="1:2" x14ac:dyDescent="0.3">
      <c r="A69" s="14" t="s">
        <v>23</v>
      </c>
      <c r="B69" s="15" t="b">
        <v>0</v>
      </c>
    </row>
    <row r="70" spans="1:2" x14ac:dyDescent="0.3">
      <c r="A70" s="14" t="s">
        <v>24</v>
      </c>
      <c r="B70" s="16">
        <v>45665</v>
      </c>
    </row>
    <row r="71" spans="1:2" x14ac:dyDescent="0.3">
      <c r="A71" s="14" t="s">
        <v>25</v>
      </c>
      <c r="B71" s="15"/>
    </row>
    <row r="72" spans="1:2" x14ac:dyDescent="0.3">
      <c r="A72" s="18" t="s">
        <v>21</v>
      </c>
      <c r="B72" s="17" t="str">
        <f>_xll.qlDiscountingSwapEngine(B68,B2)</f>
        <v>Error in arg 1 'discount_curve': Cannot convert '欣[test_swap.xlsx]Swap!R68C2YieldTermStructureHandle,A': Expected cache string</v>
      </c>
    </row>
    <row r="73" spans="1:2" x14ac:dyDescent="0.3">
      <c r="A73" s="26" t="s">
        <v>296</v>
      </c>
      <c r="B73" s="27" t="str">
        <f>_xll.qlInstrumentSetPricingEngine(B67,B72)</f>
        <v>Error in arg 1 'instrument': Cannot convert '欣[test_swap.xlsx]Swap!R67C2Swap,A': Expected cache string</v>
      </c>
    </row>
    <row r="74" spans="1:2" x14ac:dyDescent="0.3">
      <c r="A74" s="23" t="s">
        <v>17</v>
      </c>
      <c r="B74" s="24">
        <f>_xll.qlSwapNumberOfLegs(B67)</f>
        <v>2</v>
      </c>
    </row>
    <row r="75" spans="1:2" x14ac:dyDescent="0.3">
      <c r="A75" s="28" t="s">
        <v>18</v>
      </c>
      <c r="B75" s="16">
        <f>_xll.qlSwapStartDate(B67)</f>
        <v>45755</v>
      </c>
    </row>
    <row r="76" spans="1:2" x14ac:dyDescent="0.3">
      <c r="A76" s="23" t="s">
        <v>19</v>
      </c>
      <c r="B76" s="25">
        <f>_xll.qlSwapMaturityDate(B67)</f>
        <v>45846</v>
      </c>
    </row>
    <row r="77" spans="1:2" x14ac:dyDescent="0.3">
      <c r="A77" s="28" t="s">
        <v>219</v>
      </c>
      <c r="B77" s="15" t="str">
        <f>_xll.qlSwapLeg(B67,1)</f>
        <v>欣[test_swap.xlsx]Swap!R77C2CashFlow,A</v>
      </c>
    </row>
    <row r="78" spans="1:2" x14ac:dyDescent="0.3">
      <c r="A78" s="23" t="s">
        <v>220</v>
      </c>
      <c r="B78" s="24" t="str">
        <f>_xll.qlSwapLegNPV(B67,1,B73)</f>
        <v>Error in arg 1 'swap': Cannot convert '欣[test_swap.xlsx]Swap!R67C2Swap,A': Expected cache string</v>
      </c>
    </row>
    <row r="79" spans="1:2" x14ac:dyDescent="0.3">
      <c r="A79" s="28" t="s">
        <v>221</v>
      </c>
      <c r="B79" s="15" t="str">
        <f>_xll.qlSwapLegBPS(B67,1,B73)</f>
        <v>Error in arg 1 'swap': Cannot convert '欣[test_swap.xlsx]Swap!R67C2Swap,A': Expected cache string</v>
      </c>
    </row>
    <row r="80" spans="1:2" x14ac:dyDescent="0.3">
      <c r="A80" s="23" t="s">
        <v>222</v>
      </c>
      <c r="B80" s="24" t="str">
        <f>_xll.qlSwapStartDiscounts(B67,1,B73)</f>
        <v>Error in arg 1 'swap': Cannot convert '欣[test_swap.xlsx]Swap!R67C2Swap,A': Expected cache string</v>
      </c>
    </row>
    <row r="81" spans="1:2" x14ac:dyDescent="0.3">
      <c r="A81" s="28" t="s">
        <v>223</v>
      </c>
      <c r="B81" s="15" t="str">
        <f>_xll.qlSwapEndDiscounts(B67,1,B73)</f>
        <v>Error in arg 1 'swap': Cannot convert '欣[test_swap.xlsx]Swap!R67C2Swap,A': Expected cache string</v>
      </c>
    </row>
    <row r="82" spans="1:2" x14ac:dyDescent="0.3">
      <c r="A82" s="23" t="s">
        <v>20</v>
      </c>
      <c r="B82" s="24" t="str">
        <f>_xll.qlSwapNpvDateDiscount(B67,B73)</f>
        <v>Error in arg 1 'swap': Cannot convert '欣[test_swap.xlsx]Swap!R67C2Swap,A': Expected cache string</v>
      </c>
    </row>
    <row r="83" spans="1:2" x14ac:dyDescent="0.3">
      <c r="A83" s="29" t="s">
        <v>218</v>
      </c>
      <c r="B83" s="17" t="b">
        <f>_xll.qlSwapPayer(B67,0)</f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95D27-F1C7-4845-A012-A3553CE129C0}">
  <dimension ref="A1:G6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7.88671875" customWidth="1"/>
    <col min="2" max="2" width="65.109375" style="3" customWidth="1"/>
    <col min="3" max="3" width="67.33203125" customWidth="1"/>
  </cols>
  <sheetData>
    <row r="1" spans="1:3" x14ac:dyDescent="0.3">
      <c r="A1" t="s">
        <v>13</v>
      </c>
      <c r="B1" s="2">
        <v>45665</v>
      </c>
    </row>
    <row r="2" spans="1:3" x14ac:dyDescent="0.3">
      <c r="A2" t="s">
        <v>14</v>
      </c>
      <c r="B2" s="2">
        <f>_xll.qlSettingsSetEvaluationDate(B1)</f>
        <v>45665</v>
      </c>
    </row>
    <row r="4" spans="1:3" x14ac:dyDescent="0.3">
      <c r="A4" s="40" t="s">
        <v>60</v>
      </c>
      <c r="B4" s="36" t="s">
        <v>58</v>
      </c>
      <c r="C4" s="22" t="s">
        <v>102</v>
      </c>
    </row>
    <row r="5" spans="1:3" x14ac:dyDescent="0.3">
      <c r="A5" s="41" t="s">
        <v>61</v>
      </c>
      <c r="B5" s="38">
        <v>100</v>
      </c>
      <c r="C5" s="15">
        <v>100</v>
      </c>
    </row>
    <row r="6" spans="1:3" x14ac:dyDescent="0.3">
      <c r="A6" s="12" t="s">
        <v>40</v>
      </c>
      <c r="B6" s="36" t="s">
        <v>41</v>
      </c>
      <c r="C6" s="22" t="s">
        <v>41</v>
      </c>
    </row>
    <row r="7" spans="1:3" x14ac:dyDescent="0.3">
      <c r="A7" s="14" t="s">
        <v>42</v>
      </c>
      <c r="B7" s="37">
        <v>45755</v>
      </c>
      <c r="C7" s="16">
        <v>45755</v>
      </c>
    </row>
    <row r="8" spans="1:3" x14ac:dyDescent="0.3">
      <c r="A8" s="14" t="s">
        <v>43</v>
      </c>
      <c r="B8" s="37">
        <v>46395</v>
      </c>
      <c r="C8" s="16">
        <v>46395</v>
      </c>
    </row>
    <row r="9" spans="1:3" x14ac:dyDescent="0.3">
      <c r="A9" s="14" t="s">
        <v>44</v>
      </c>
      <c r="B9" s="38" t="s">
        <v>74</v>
      </c>
      <c r="C9" s="15" t="s">
        <v>74</v>
      </c>
    </row>
    <row r="10" spans="1:3" x14ac:dyDescent="0.3">
      <c r="A10" s="14" t="s">
        <v>46</v>
      </c>
      <c r="B10" s="38" t="s">
        <v>47</v>
      </c>
      <c r="C10" s="15" t="s">
        <v>47</v>
      </c>
    </row>
    <row r="11" spans="1:3" x14ac:dyDescent="0.3">
      <c r="A11" s="32" t="s">
        <v>62</v>
      </c>
      <c r="B11" s="39" t="str">
        <f>_xll.qlMakeSchedule(B7,B8,B9,,B6,B10)</f>
        <v>欣[test_swap.xlsx]VanillaSwap!R11C2Schedule,A</v>
      </c>
      <c r="C11" s="17" t="str">
        <f>_xll.qlMakeSchedule(C7,C8,C9,,C6,C10)</f>
        <v>欣[test_swap.xlsx]VanillaSwap!R11C3Schedule,A</v>
      </c>
    </row>
    <row r="12" spans="1:3" x14ac:dyDescent="0.3">
      <c r="A12" s="31" t="s">
        <v>63</v>
      </c>
      <c r="B12" s="38">
        <v>0.04</v>
      </c>
      <c r="C12" s="15">
        <v>0.04</v>
      </c>
    </row>
    <row r="13" spans="1:3" x14ac:dyDescent="0.3">
      <c r="A13" s="31" t="s">
        <v>64</v>
      </c>
      <c r="B13" s="38" t="s">
        <v>72</v>
      </c>
      <c r="C13" s="15" t="s">
        <v>72</v>
      </c>
    </row>
    <row r="14" spans="1:3" x14ac:dyDescent="0.3">
      <c r="A14" s="12" t="s">
        <v>40</v>
      </c>
      <c r="B14" s="36" t="s">
        <v>41</v>
      </c>
      <c r="C14" s="22" t="s">
        <v>41</v>
      </c>
    </row>
    <row r="15" spans="1:3" x14ac:dyDescent="0.3">
      <c r="A15" s="14" t="s">
        <v>42</v>
      </c>
      <c r="B15" s="37">
        <v>45755</v>
      </c>
      <c r="C15" s="16">
        <v>45755</v>
      </c>
    </row>
    <row r="16" spans="1:3" x14ac:dyDescent="0.3">
      <c r="A16" s="14" t="s">
        <v>43</v>
      </c>
      <c r="B16" s="37">
        <v>46395</v>
      </c>
      <c r="C16" s="16">
        <v>46395</v>
      </c>
    </row>
    <row r="17" spans="1:7" x14ac:dyDescent="0.3">
      <c r="A17" s="14" t="s">
        <v>44</v>
      </c>
      <c r="B17" s="38" t="s">
        <v>45</v>
      </c>
      <c r="C17" s="15" t="s">
        <v>45</v>
      </c>
    </row>
    <row r="18" spans="1:7" x14ac:dyDescent="0.3">
      <c r="A18" s="14" t="s">
        <v>46</v>
      </c>
      <c r="B18" s="38" t="s">
        <v>47</v>
      </c>
      <c r="C18" s="15" t="s">
        <v>47</v>
      </c>
    </row>
    <row r="19" spans="1:7" x14ac:dyDescent="0.3">
      <c r="A19" s="32" t="s">
        <v>71</v>
      </c>
      <c r="B19" s="39" t="str">
        <f>_xll.qlMakeSchedule(B15,B16,B17,,B14,B18)</f>
        <v>欣[test_swap.xlsx]VanillaSwap!R19C2Schedule,A</v>
      </c>
      <c r="C19" s="17" t="str">
        <f>_xll.qlMakeSchedule(C15,C16,C17,,C14,C18)</f>
        <v>欣[test_swap.xlsx]VanillaSwap!R19C3Schedule,A</v>
      </c>
    </row>
    <row r="20" spans="1:7" x14ac:dyDescent="0.3">
      <c r="A20" s="12" t="s">
        <v>22</v>
      </c>
      <c r="B20" s="36" t="str">
        <f>_xll.qlFlatForward(B2,0.03,"actual365fixed")</f>
        <v>欣[test_swap.xlsx]VanillaSwap!R20C2YieldTermStructureHandle,A</v>
      </c>
      <c r="C20" s="22" t="str">
        <f>_xll.qlFlatForward(B2,0.03,"actual365fixed")</f>
        <v>欣[test_swap.xlsx]VanillaSwap!R20C3YieldTermStructureHandle,A</v>
      </c>
      <c r="G20" s="8"/>
    </row>
    <row r="21" spans="1:7" x14ac:dyDescent="0.3">
      <c r="A21" s="32" t="s">
        <v>66</v>
      </c>
      <c r="B21" s="39" t="str">
        <f>_xll.qlEuribor("3m",B20,B2)</f>
        <v>欣[test_swap.xlsx]VanillaSwap!R21C2Euribor,A</v>
      </c>
      <c r="C21" s="17" t="str">
        <f>_xll.qlEuribor("3m",C20,B2)</f>
        <v>欣[test_swap.xlsx]VanillaSwap!R21C3Euribor,A</v>
      </c>
    </row>
    <row r="22" spans="1:7" x14ac:dyDescent="0.3">
      <c r="A22" s="31" t="s">
        <v>67</v>
      </c>
      <c r="B22" s="38">
        <v>3.0000000000000001E-3</v>
      </c>
      <c r="C22" s="15">
        <v>3.0000000000000001E-3</v>
      </c>
    </row>
    <row r="23" spans="1:7" x14ac:dyDescent="0.3">
      <c r="A23" s="31" t="s">
        <v>68</v>
      </c>
      <c r="B23" s="38" t="s">
        <v>72</v>
      </c>
      <c r="C23" s="15" t="s">
        <v>72</v>
      </c>
    </row>
    <row r="24" spans="1:7" x14ac:dyDescent="0.3">
      <c r="A24" s="26" t="s">
        <v>69</v>
      </c>
      <c r="B24" s="38"/>
      <c r="C24" s="15" t="s">
        <v>75</v>
      </c>
    </row>
    <row r="25" spans="1:7" x14ac:dyDescent="0.3">
      <c r="A25" s="31" t="s">
        <v>70</v>
      </c>
      <c r="B25" s="38"/>
      <c r="C25" s="15" t="b">
        <v>1</v>
      </c>
    </row>
    <row r="26" spans="1:7" x14ac:dyDescent="0.3">
      <c r="A26" s="18" t="s">
        <v>73</v>
      </c>
      <c r="B26" s="39" t="str">
        <f>_xll.qlVanillaSwap(B4,B5,B11,B12,B13,B19,B21,B22,B23)</f>
        <v>欣[test_swap.xlsx]VanillaSwap!R26C2VanillaSwap,A</v>
      </c>
      <c r="C26" s="17" t="str">
        <f>_xll.qlVanillaSwap(C4,C5,C11,C12,C13,C19,C21,C22,C23,C24,C25)</f>
        <v>欣[test_swap.xlsx]VanillaSwap!R26C3VanillaSwap,A</v>
      </c>
    </row>
    <row r="27" spans="1:7" x14ac:dyDescent="0.3">
      <c r="A27" s="12" t="s">
        <v>22</v>
      </c>
      <c r="B27" s="36" t="str">
        <f>_xll.qlFlatForward(B2,0.03,"actual365fixed")</f>
        <v>欣[test_swap.xlsx]VanillaSwap!R27C2YieldTermStructureHandle,A</v>
      </c>
      <c r="C27" s="22" t="str">
        <f>_xll.qlFlatForward(B2,0.03,"actual365fixed")</f>
        <v>欣[test_swap.xlsx]VanillaSwap!R27C3YieldTermStructureHandle,A</v>
      </c>
    </row>
    <row r="28" spans="1:7" x14ac:dyDescent="0.3">
      <c r="A28" s="14" t="s">
        <v>23</v>
      </c>
      <c r="B28" s="38" t="b">
        <v>0</v>
      </c>
      <c r="C28" s="15" t="b">
        <v>0</v>
      </c>
    </row>
    <row r="29" spans="1:7" x14ac:dyDescent="0.3">
      <c r="A29" s="14" t="s">
        <v>24</v>
      </c>
      <c r="B29" s="37">
        <v>45665</v>
      </c>
      <c r="C29" s="16">
        <v>45665</v>
      </c>
    </row>
    <row r="30" spans="1:7" x14ac:dyDescent="0.3">
      <c r="A30" s="14" t="s">
        <v>25</v>
      </c>
      <c r="B30" s="38"/>
      <c r="C30" s="15"/>
    </row>
    <row r="31" spans="1:7" x14ac:dyDescent="0.3">
      <c r="A31" s="18" t="s">
        <v>21</v>
      </c>
      <c r="B31" s="39" t="str">
        <f>_xll.qlDiscountingSwapEngine(B27,B28)</f>
        <v>Error in arg 1 'discount_curve': Cannot convert '欣[test_swap.xlsx]VanillaSwap!R27C2YieldTermStructureHandle,A': Expected cache string</v>
      </c>
      <c r="C31" s="17" t="str">
        <f>_xll.qlDiscountingSwapEngine(C27,C28)</f>
        <v>Error in arg 1 'discount_curve': Cannot convert '欣[test_swap.xlsx]VanillaSwap!R27C3YieldTermStructureHandle,A': Expected cache string</v>
      </c>
    </row>
    <row r="32" spans="1:7" x14ac:dyDescent="0.3">
      <c r="A32" s="26" t="s">
        <v>296</v>
      </c>
      <c r="B32" s="45" t="str">
        <f>_xll.qlInstrumentSetPricingEngine(B26,B31)</f>
        <v>Error in arg 1 'instrument': Cannot convert '欣[test_swap.xlsx]VanillaSwap!R26C2VanillaSwap,A': Expected cache string</v>
      </c>
      <c r="C32" s="27" t="str">
        <f>_xll.qlInstrumentSetPricingEngine(C26,C31)</f>
        <v>Error in arg 1 'instrument': Cannot convert '欣[test_swap.xlsx]VanillaSwap!R26C3VanillaSwap,A': Expected cache string</v>
      </c>
    </row>
    <row r="33" spans="1:3" x14ac:dyDescent="0.3">
      <c r="A33" s="23" t="s">
        <v>17</v>
      </c>
      <c r="B33" s="42">
        <f>_xll.qlSwapNumberOfLegs(B26)</f>
        <v>2</v>
      </c>
      <c r="C33" s="24">
        <f>_xll.qlSwapNumberOfLegs(C26)</f>
        <v>2</v>
      </c>
    </row>
    <row r="34" spans="1:3" x14ac:dyDescent="0.3">
      <c r="A34" s="28" t="s">
        <v>18</v>
      </c>
      <c r="B34" s="37">
        <f>_xll.qlSwapStartDate(B26)</f>
        <v>45755</v>
      </c>
      <c r="C34" s="16">
        <f>_xll.qlSwapStartDate(C26)</f>
        <v>45755</v>
      </c>
    </row>
    <row r="35" spans="1:3" x14ac:dyDescent="0.3">
      <c r="A35" s="23" t="s">
        <v>19</v>
      </c>
      <c r="B35" s="43">
        <f>_xll.qlSwapMaturityDate(B26)</f>
        <v>46395</v>
      </c>
      <c r="C35" s="25">
        <f>_xll.qlSwapMaturityDate(C26)</f>
        <v>46395</v>
      </c>
    </row>
    <row r="36" spans="1:3" x14ac:dyDescent="0.3">
      <c r="A36" s="28" t="s">
        <v>219</v>
      </c>
      <c r="B36" s="38" t="str">
        <f>_xll.qlSwapLeg(B26,1)</f>
        <v>欣[test_swap.xlsx]VanillaSwap!R36C2CashFlow,A</v>
      </c>
      <c r="C36" s="15" t="str">
        <f>_xll.qlSwapLeg(C26,1)</f>
        <v>欣[test_swap.xlsx]VanillaSwap!R36C3CashFlow,A</v>
      </c>
    </row>
    <row r="37" spans="1:3" x14ac:dyDescent="0.3">
      <c r="A37" s="23" t="s">
        <v>220</v>
      </c>
      <c r="B37" s="42" t="str">
        <f>_xll.qlSwapLegNPV(B26,1,B32)</f>
        <v>Error in arg 1 'swap': Cannot convert '欣[test_swap.xlsx]VanillaSwap!R26C2VanillaSwap,A': Expected cache string</v>
      </c>
      <c r="C37" s="24" t="str">
        <f>_xll.qlSwapLegNPV(C26,1,C32)</f>
        <v>Error in arg 1 'swap': Cannot convert '欣[test_swap.xlsx]VanillaSwap!R26C3VanillaSwap,A': Expected cache string</v>
      </c>
    </row>
    <row r="38" spans="1:3" x14ac:dyDescent="0.3">
      <c r="A38" s="28" t="s">
        <v>221</v>
      </c>
      <c r="B38" s="38" t="str">
        <f>_xll.qlSwapLegBPS(B26,1,B32)</f>
        <v>Error in arg 1 'swap': Cannot convert '欣[test_swap.xlsx]VanillaSwap!R26C2VanillaSwap,A': Expected cache string</v>
      </c>
      <c r="C38" s="15" t="str">
        <f>_xll.qlSwapLegBPS(C26,1,C32)</f>
        <v>Error in arg 1 'swap': Cannot convert '欣[test_swap.xlsx]VanillaSwap!R26C3VanillaSwap,A': Expected cache string</v>
      </c>
    </row>
    <row r="39" spans="1:3" x14ac:dyDescent="0.3">
      <c r="A39" s="23" t="s">
        <v>222</v>
      </c>
      <c r="B39" s="42" t="str">
        <f>_xll.qlSwapStartDiscounts(B26,1,B32)</f>
        <v>Error in arg 1 'swap': Cannot convert '欣[test_swap.xlsx]VanillaSwap!R26C2VanillaSwap,A': Expected cache string</v>
      </c>
      <c r="C39" s="24" t="str">
        <f>_xll.qlSwapStartDiscounts(C26,1,C32)</f>
        <v>Error in arg 1 'swap': Cannot convert '欣[test_swap.xlsx]VanillaSwap!R26C3VanillaSwap,A': Expected cache string</v>
      </c>
    </row>
    <row r="40" spans="1:3" x14ac:dyDescent="0.3">
      <c r="A40" s="28" t="s">
        <v>223</v>
      </c>
      <c r="B40" s="38" t="str">
        <f>_xll.qlSwapEndDiscounts(B26,1,B32)</f>
        <v>Error in arg 1 'swap': Cannot convert '欣[test_swap.xlsx]VanillaSwap!R26C2VanillaSwap,A': Expected cache string</v>
      </c>
      <c r="C40" s="15" t="str">
        <f>_xll.qlSwapEndDiscounts(C26,1,C32)</f>
        <v>Error in arg 1 'swap': Cannot convert '欣[test_swap.xlsx]VanillaSwap!R26C3VanillaSwap,A': Expected cache string</v>
      </c>
    </row>
    <row r="41" spans="1:3" x14ac:dyDescent="0.3">
      <c r="A41" s="23" t="s">
        <v>20</v>
      </c>
      <c r="B41" s="42" t="str">
        <f>_xll.qlSwapNpvDateDiscount(B26,B32)</f>
        <v>Error in arg 1 'swap': Cannot convert '欣[test_swap.xlsx]VanillaSwap!R26C2VanillaSwap,A': Expected cache string</v>
      </c>
      <c r="C41" s="24" t="str">
        <f>_xll.qlSwapNpvDateDiscount(C26,C32)</f>
        <v>Error in arg 1 'swap': Cannot convert '欣[test_swap.xlsx]VanillaSwap!R26C3VanillaSwap,A': Expected cache string</v>
      </c>
    </row>
    <row r="42" spans="1:3" x14ac:dyDescent="0.3">
      <c r="A42" s="46" t="s">
        <v>218</v>
      </c>
      <c r="B42" s="38" t="b">
        <f>_xll.qlSwapPayer(B26,0)</f>
        <v>1</v>
      </c>
      <c r="C42" s="15" t="b">
        <f>_xll.qlSwapPayer(C26,0)</f>
        <v>0</v>
      </c>
    </row>
    <row r="43" spans="1:3" x14ac:dyDescent="0.3">
      <c r="A43" s="23" t="s">
        <v>275</v>
      </c>
      <c r="B43" s="42" t="str">
        <f>_xll.qlFixedVsFloatingSwapType(B26)</f>
        <v>PAYER</v>
      </c>
      <c r="C43" s="24" t="str">
        <f>_xll.qlFixedVsFloatingSwapType(C26)</f>
        <v>RECEIVER</v>
      </c>
    </row>
    <row r="44" spans="1:3" x14ac:dyDescent="0.3">
      <c r="A44" s="28" t="s">
        <v>276</v>
      </c>
      <c r="B44" s="38">
        <f>_xll.qlFixedVsFloatingSwapNominal(B26)</f>
        <v>100</v>
      </c>
      <c r="C44" s="15">
        <f>_xll.qlFixedVsFloatingSwapNominal(C26)</f>
        <v>100</v>
      </c>
    </row>
    <row r="45" spans="1:3" x14ac:dyDescent="0.3">
      <c r="A45" s="44" t="s">
        <v>277</v>
      </c>
      <c r="B45" s="42">
        <f>_xll.qlFixedVsFloatingSwapNominals(B26)</f>
        <v>100</v>
      </c>
      <c r="C45" s="24">
        <f>_xll.qlFixedVsFloatingSwapNominals(C26)</f>
        <v>100</v>
      </c>
    </row>
    <row r="46" spans="1:3" x14ac:dyDescent="0.3">
      <c r="A46" s="46" t="s">
        <v>278</v>
      </c>
      <c r="B46" s="38">
        <f>_xll.qlFixedVsFloatingSwapFixedNominals(B26)</f>
        <v>100</v>
      </c>
      <c r="C46" s="15">
        <f>_xll.qlFixedVsFloatingSwapFixedNominals(C26)</f>
        <v>100</v>
      </c>
    </row>
    <row r="47" spans="1:3" x14ac:dyDescent="0.3">
      <c r="A47" s="44" t="s">
        <v>279</v>
      </c>
      <c r="B47" s="42" t="str">
        <f>_xll.qlFixedVsFloatingSwapFixedSchedule(B26)</f>
        <v>欣[test_swap.xlsx]VanillaSwap!R47C2Schedule,A</v>
      </c>
      <c r="C47" s="24" t="str">
        <f>_xll.qlFixedVsFloatingSwapFixedSchedule(C26)</f>
        <v>欣[test_swap.xlsx]VanillaSwap!R47C3Schedule,A</v>
      </c>
    </row>
    <row r="48" spans="1:3" x14ac:dyDescent="0.3">
      <c r="A48" s="46" t="s">
        <v>280</v>
      </c>
      <c r="B48" s="38">
        <f>_xll.qlFixedVsFloatingSwapFixedRate(B26)</f>
        <v>0.04</v>
      </c>
      <c r="C48" s="15">
        <f>_xll.qlFixedVsFloatingSwapFixedRate(C26)</f>
        <v>0.04</v>
      </c>
    </row>
    <row r="49" spans="1:3" x14ac:dyDescent="0.3">
      <c r="A49" s="44" t="s">
        <v>281</v>
      </c>
      <c r="B49" s="42" t="str">
        <f>_xll.qlFixedVsFloatingSwapFixedDayCount(B26)</f>
        <v>Actual/360</v>
      </c>
      <c r="C49" s="24" t="str">
        <f>_xll.qlFixedVsFloatingSwapFixedDayCount(C26)</f>
        <v>Actual/360</v>
      </c>
    </row>
    <row r="50" spans="1:3" x14ac:dyDescent="0.3">
      <c r="A50" s="46" t="s">
        <v>282</v>
      </c>
      <c r="B50" s="38">
        <f>_xll.qlFixedVsFloatingSwapFloatingNominals(B26)</f>
        <v>100</v>
      </c>
      <c r="C50" s="15">
        <f>_xll.qlFixedVsFloatingSwapFloatingNominals(C26)</f>
        <v>100</v>
      </c>
    </row>
    <row r="51" spans="1:3" x14ac:dyDescent="0.3">
      <c r="A51" s="23" t="s">
        <v>284</v>
      </c>
      <c r="B51" s="42" t="str">
        <f>_xll.qlFixedVsFloatingSwapFloatingSchedule(B26)</f>
        <v>欣[test_swap.xlsx]VanillaSwap!R51C2Schedule,A</v>
      </c>
      <c r="C51" s="24" t="str">
        <f>_xll.qlFixedVsFloatingSwapFloatingSchedule(C26)</f>
        <v>欣[test_swap.xlsx]VanillaSwap!R51C3Schedule,A</v>
      </c>
    </row>
    <row r="52" spans="1:3" x14ac:dyDescent="0.3">
      <c r="A52" s="28" t="s">
        <v>283</v>
      </c>
      <c r="B52" s="38" t="str">
        <f>_xll.qlFixedVsFloatingSwapIborIndex(B26)</f>
        <v>欣[test_swap.xlsx]VanillaSwap!R52C2IborIndex,A</v>
      </c>
      <c r="C52" s="15" t="str">
        <f>_xll.qlFixedVsFloatingSwapIborIndex(C26)</f>
        <v>欣[test_swap.xlsx]VanillaSwap!R52C3IborIndex,A</v>
      </c>
    </row>
    <row r="53" spans="1:3" x14ac:dyDescent="0.3">
      <c r="A53" s="23" t="s">
        <v>285</v>
      </c>
      <c r="B53" s="42">
        <f>_xll.qlFixedVsFloatingSwapSpread(B26)</f>
        <v>3.0000000000000001E-3</v>
      </c>
      <c r="C53" s="24">
        <f>_xll.qlFixedVsFloatingSwapSpread(C26)</f>
        <v>3.0000000000000001E-3</v>
      </c>
    </row>
    <row r="54" spans="1:3" x14ac:dyDescent="0.3">
      <c r="A54" s="28" t="s">
        <v>286</v>
      </c>
      <c r="B54" s="38" t="str">
        <f>_xll.qlFixedVsFloatingSwapFloatingDayCount(B26)</f>
        <v>Actual/360</v>
      </c>
      <c r="C54" s="15" t="str">
        <f>_xll.qlFixedVsFloatingSwapFloatingDayCount(C26)</f>
        <v>Actual/360</v>
      </c>
    </row>
    <row r="55" spans="1:3" x14ac:dyDescent="0.3">
      <c r="A55" s="23" t="s">
        <v>287</v>
      </c>
      <c r="B55" s="42" t="str">
        <f>_xll.qlFixedVsFloatingSwapPaymentConvention(B26)</f>
        <v>FOLLOWING</v>
      </c>
      <c r="C55" s="24" t="str">
        <f>_xll.qlFixedVsFloatingSwapPaymentConvention(C26)</f>
        <v>FOLLOWING</v>
      </c>
    </row>
    <row r="56" spans="1:3" x14ac:dyDescent="0.3">
      <c r="A56" s="28" t="s">
        <v>288</v>
      </c>
      <c r="B56" s="38" t="str">
        <f>_xll.qlFixedVsFloatingSwapFixedLeg(B26)</f>
        <v>欣[test_swap.xlsx]VanillaSwap!R56C2CashFlow,A</v>
      </c>
      <c r="C56" s="15" t="str">
        <f>_xll.qlFixedVsFloatingSwapFixedLeg(C26)</f>
        <v>欣[test_swap.xlsx]VanillaSwap!R56C3CashFlow,A</v>
      </c>
    </row>
    <row r="57" spans="1:3" x14ac:dyDescent="0.3">
      <c r="A57" s="23" t="s">
        <v>289</v>
      </c>
      <c r="B57" s="42" t="str">
        <f>_xll.qlFixedVsFloatingSwapFloatingLeg(B26)</f>
        <v>欣[test_swap.xlsx]VanillaSwap!R57C2CashFlow,A</v>
      </c>
      <c r="C57" s="24" t="str">
        <f>_xll.qlFixedVsFloatingSwapFloatingLeg(C26)</f>
        <v>欣[test_swap.xlsx]VanillaSwap!R57C3CashFlow,A</v>
      </c>
    </row>
    <row r="58" spans="1:3" x14ac:dyDescent="0.3">
      <c r="A58" s="28" t="s">
        <v>290</v>
      </c>
      <c r="B58" s="38" t="str">
        <f>_xll.qlFixedVsFloatingSwapFixedLegBPS(B26,B32)</f>
        <v>Error in arg 1 'swap': Cannot convert '欣[test_swap.xlsx]VanillaSwap!R26C2VanillaSwap,A': Expected cache string</v>
      </c>
      <c r="C58" s="15" t="str">
        <f>_xll.qlFixedVsFloatingSwapFixedLegBPS(C26,C32)</f>
        <v>Error in arg 1 'swap': Cannot convert '欣[test_swap.xlsx]VanillaSwap!R26C3VanillaSwap,A': Expected cache string</v>
      </c>
    </row>
    <row r="59" spans="1:3" x14ac:dyDescent="0.3">
      <c r="A59" s="23" t="s">
        <v>291</v>
      </c>
      <c r="B59" s="42" t="str">
        <f>_xll.qlFixedVsFloatingSwapFixedLegNPV(B26,B32)</f>
        <v>Error in arg 1 'swap': Cannot convert '欣[test_swap.xlsx]VanillaSwap!R26C2VanillaSwap,A': Expected cache string</v>
      </c>
      <c r="C59" s="24" t="str">
        <f>_xll.qlFixedVsFloatingSwapFixedLegNPV(C26,C32)</f>
        <v>Error in arg 1 'swap': Cannot convert '欣[test_swap.xlsx]VanillaSwap!R26C3VanillaSwap,A': Expected cache string</v>
      </c>
    </row>
    <row r="60" spans="1:3" x14ac:dyDescent="0.3">
      <c r="A60" s="28" t="s">
        <v>292</v>
      </c>
      <c r="B60" s="38" t="str">
        <f>_xll.qlFixedVsFloatingSwapFairRate(B26,B32)</f>
        <v>Error in arg 1 'swap': Cannot convert '欣[test_swap.xlsx]VanillaSwap!R26C2VanillaSwap,A': Expected cache string</v>
      </c>
      <c r="C60" s="15" t="str">
        <f>_xll.qlFixedVsFloatingSwapFairRate(C26,C32)</f>
        <v>Error in arg 1 'swap': Cannot convert '欣[test_swap.xlsx]VanillaSwap!R26C3VanillaSwap,A': Expected cache string</v>
      </c>
    </row>
    <row r="61" spans="1:3" x14ac:dyDescent="0.3">
      <c r="A61" s="23" t="s">
        <v>293</v>
      </c>
      <c r="B61" s="42" t="str">
        <f>_xll.qlFixedVsFloatingSwapFloatingLegBPS(B26,B32)</f>
        <v>Error in arg 1 'swap': Cannot convert '欣[test_swap.xlsx]VanillaSwap!R26C2VanillaSwap,A': Expected cache string</v>
      </c>
      <c r="C61" s="24" t="str">
        <f>_xll.qlFixedVsFloatingSwapFloatingLegBPS(C26,C32)</f>
        <v>Error in arg 1 'swap': Cannot convert '欣[test_swap.xlsx]VanillaSwap!R26C3VanillaSwap,A': Expected cache string</v>
      </c>
    </row>
    <row r="62" spans="1:3" x14ac:dyDescent="0.3">
      <c r="A62" s="28" t="s">
        <v>294</v>
      </c>
      <c r="B62" s="38" t="str">
        <f>_xll.qlFixedVsFloatingSwapFloatingLegNPV(B26,B32)</f>
        <v>Error in arg 1 'swap': Cannot convert '欣[test_swap.xlsx]VanillaSwap!R26C2VanillaSwap,A': Expected cache string</v>
      </c>
      <c r="C62" s="15" t="str">
        <f>_xll.qlFixedVsFloatingSwapFloatingLegNPV(C26,C32)</f>
        <v>Error in arg 1 'swap': Cannot convert '欣[test_swap.xlsx]VanillaSwap!R26C3VanillaSwap,A': Expected cache string</v>
      </c>
    </row>
    <row r="63" spans="1:3" x14ac:dyDescent="0.3">
      <c r="A63" s="23" t="s">
        <v>295</v>
      </c>
      <c r="B63" s="42" t="str">
        <f>_xll.qlFixedVsFloatingSwapFairSpread(B26,B32)</f>
        <v>Error in arg 1 'swap': Cannot convert '欣[test_swap.xlsx]VanillaSwap!R26C2VanillaSwap,A': Expected cache string</v>
      </c>
      <c r="C63" s="24" t="str">
        <f>_xll.qlFixedVsFloatingSwapFairSpread(C26,C32)</f>
        <v>Error in arg 1 'swap': Cannot convert '欣[test_swap.xlsx]VanillaSwap!R26C3VanillaSwap,A': Expected cache string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E14E-51E1-40FA-9F44-972E7E136A4A}">
  <dimension ref="A1:C7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7.88671875" customWidth="1"/>
    <col min="2" max="2" width="68.44140625" style="5" customWidth="1"/>
    <col min="3" max="3" width="66.33203125" style="5" customWidth="1"/>
  </cols>
  <sheetData>
    <row r="1" spans="1:3" x14ac:dyDescent="0.3">
      <c r="A1" s="30" t="s">
        <v>13</v>
      </c>
      <c r="B1" s="13">
        <v>45665</v>
      </c>
    </row>
    <row r="2" spans="1:3" x14ac:dyDescent="0.3">
      <c r="A2" s="32" t="s">
        <v>14</v>
      </c>
      <c r="B2" s="35">
        <f>_xll.qlSettingsSetEvaluationDate(B1)</f>
        <v>45665</v>
      </c>
    </row>
    <row r="4" spans="1:3" x14ac:dyDescent="0.3">
      <c r="A4" s="30" t="s">
        <v>224</v>
      </c>
      <c r="B4" s="36" t="s">
        <v>164</v>
      </c>
      <c r="C4" s="22" t="s">
        <v>164</v>
      </c>
    </row>
    <row r="5" spans="1:3" x14ac:dyDescent="0.3">
      <c r="A5" s="12" t="s">
        <v>22</v>
      </c>
      <c r="B5" s="36" t="str">
        <f>_xll.qlFlatForward(B2,0.03,"actual365fixed")</f>
        <v>欣[test_swap.xlsx]MakeVanillaSwap!R5C2YieldTermStructureHandle,A</v>
      </c>
      <c r="C5" s="22" t="str">
        <f>_xll.qlFlatForward(B2,0.03,"actual365fixed")</f>
        <v>欣[test_swap.xlsx]MakeVanillaSwap!R5C3YieldTermStructureHandle,A</v>
      </c>
    </row>
    <row r="6" spans="1:3" x14ac:dyDescent="0.3">
      <c r="A6" s="32" t="s">
        <v>174</v>
      </c>
      <c r="B6" s="39" t="str">
        <f>_xll.qlEuribor("3M",B5,B2)</f>
        <v>欣[test_swap.xlsx]MakeVanillaSwap!R6C2Euribor,A</v>
      </c>
      <c r="C6" s="17" t="str">
        <f>_xll.qlEuribor("3M",C5,B2)</f>
        <v>欣[test_swap.xlsx]MakeVanillaSwap!R6C3Euribor,A</v>
      </c>
    </row>
    <row r="7" spans="1:3" x14ac:dyDescent="0.3">
      <c r="A7" s="31" t="s">
        <v>63</v>
      </c>
      <c r="B7" s="38"/>
      <c r="C7" s="15">
        <v>0.03</v>
      </c>
    </row>
    <row r="8" spans="1:3" x14ac:dyDescent="0.3">
      <c r="A8" s="31" t="s">
        <v>226</v>
      </c>
      <c r="B8" s="38"/>
      <c r="C8" s="15" t="s">
        <v>227</v>
      </c>
    </row>
    <row r="9" spans="1:3" x14ac:dyDescent="0.3">
      <c r="A9" s="31" t="s">
        <v>228</v>
      </c>
      <c r="B9" s="38"/>
      <c r="C9" s="15" t="b">
        <v>1</v>
      </c>
    </row>
    <row r="10" spans="1:3" x14ac:dyDescent="0.3">
      <c r="A10" s="31" t="s">
        <v>229</v>
      </c>
      <c r="B10" s="38"/>
      <c r="C10" s="15" t="s">
        <v>58</v>
      </c>
    </row>
    <row r="11" spans="1:3" x14ac:dyDescent="0.3">
      <c r="A11" s="31" t="s">
        <v>61</v>
      </c>
      <c r="B11" s="38"/>
      <c r="C11" s="15">
        <v>100</v>
      </c>
    </row>
    <row r="12" spans="1:3" x14ac:dyDescent="0.3">
      <c r="A12" s="31" t="s">
        <v>108</v>
      </c>
      <c r="B12" s="38"/>
      <c r="C12" s="15"/>
    </row>
    <row r="13" spans="1:3" x14ac:dyDescent="0.3">
      <c r="A13" s="31" t="s">
        <v>230</v>
      </c>
      <c r="B13" s="38"/>
      <c r="C13" s="16">
        <v>45669</v>
      </c>
    </row>
    <row r="14" spans="1:3" x14ac:dyDescent="0.3">
      <c r="A14" s="31" t="s">
        <v>231</v>
      </c>
      <c r="B14" s="38"/>
      <c r="C14" s="16">
        <v>46764</v>
      </c>
    </row>
    <row r="15" spans="1:3" x14ac:dyDescent="0.3">
      <c r="A15" s="31" t="s">
        <v>232</v>
      </c>
      <c r="B15" s="38"/>
      <c r="C15" s="15" t="s">
        <v>256</v>
      </c>
    </row>
    <row r="16" spans="1:3" x14ac:dyDescent="0.3">
      <c r="A16" s="31" t="s">
        <v>69</v>
      </c>
      <c r="B16" s="38"/>
      <c r="C16" s="15" t="s">
        <v>75</v>
      </c>
    </row>
    <row r="17" spans="1:3" x14ac:dyDescent="0.3">
      <c r="A17" s="31" t="s">
        <v>233</v>
      </c>
      <c r="B17" s="38"/>
      <c r="C17" s="15" t="s">
        <v>74</v>
      </c>
    </row>
    <row r="18" spans="1:3" x14ac:dyDescent="0.3">
      <c r="A18" s="31" t="s">
        <v>234</v>
      </c>
      <c r="B18" s="38"/>
      <c r="C18" s="15" t="str">
        <f>_xll.qlCalendar("TARGET")</f>
        <v>TARGET</v>
      </c>
    </row>
    <row r="19" spans="1:3" x14ac:dyDescent="0.3">
      <c r="A19" s="31" t="s">
        <v>235</v>
      </c>
      <c r="B19" s="38"/>
      <c r="C19" s="15" t="s">
        <v>75</v>
      </c>
    </row>
    <row r="20" spans="1:3" x14ac:dyDescent="0.3">
      <c r="A20" s="31" t="s">
        <v>236</v>
      </c>
      <c r="B20" s="38"/>
      <c r="C20" s="15" t="s">
        <v>82</v>
      </c>
    </row>
    <row r="21" spans="1:3" x14ac:dyDescent="0.3">
      <c r="A21" s="31" t="s">
        <v>237</v>
      </c>
      <c r="B21" s="38"/>
      <c r="C21" s="15" t="s">
        <v>256</v>
      </c>
    </row>
    <row r="22" spans="1:3" x14ac:dyDescent="0.3">
      <c r="A22" s="31" t="s">
        <v>238</v>
      </c>
      <c r="B22" s="38"/>
      <c r="C22" s="15" t="b">
        <v>1</v>
      </c>
    </row>
    <row r="23" spans="1:3" x14ac:dyDescent="0.3">
      <c r="A23" s="31" t="s">
        <v>239</v>
      </c>
      <c r="B23" s="38"/>
      <c r="C23" s="16">
        <v>45669</v>
      </c>
    </row>
    <row r="24" spans="1:3" x14ac:dyDescent="0.3">
      <c r="A24" s="31" t="s">
        <v>240</v>
      </c>
      <c r="B24" s="38"/>
      <c r="C24" s="16">
        <v>46034</v>
      </c>
    </row>
    <row r="25" spans="1:3" x14ac:dyDescent="0.3">
      <c r="A25" s="31" t="s">
        <v>241</v>
      </c>
      <c r="B25" s="38"/>
      <c r="C25" s="15" t="s">
        <v>72</v>
      </c>
    </row>
    <row r="26" spans="1:3" x14ac:dyDescent="0.3">
      <c r="A26" s="31" t="s">
        <v>242</v>
      </c>
      <c r="B26" s="38"/>
      <c r="C26" s="15" t="s">
        <v>164</v>
      </c>
    </row>
    <row r="27" spans="1:3" x14ac:dyDescent="0.3">
      <c r="A27" s="31" t="s">
        <v>243</v>
      </c>
      <c r="B27" s="38"/>
      <c r="C27" s="15" t="str">
        <f>_xll.qlCalendar("TARGET")</f>
        <v>TARGET</v>
      </c>
    </row>
    <row r="28" spans="1:3" x14ac:dyDescent="0.3">
      <c r="A28" s="31" t="s">
        <v>244</v>
      </c>
      <c r="B28" s="38"/>
      <c r="C28" s="15" t="s">
        <v>82</v>
      </c>
    </row>
    <row r="29" spans="1:3" x14ac:dyDescent="0.3">
      <c r="A29" s="31" t="s">
        <v>245</v>
      </c>
      <c r="B29" s="38"/>
      <c r="C29" s="15" t="s">
        <v>82</v>
      </c>
    </row>
    <row r="30" spans="1:3" x14ac:dyDescent="0.3">
      <c r="A30" s="31" t="s">
        <v>246</v>
      </c>
      <c r="B30" s="38"/>
      <c r="C30" s="15" t="s">
        <v>256</v>
      </c>
    </row>
    <row r="31" spans="1:3" x14ac:dyDescent="0.3">
      <c r="A31" s="31" t="s">
        <v>247</v>
      </c>
      <c r="B31" s="38"/>
      <c r="C31" s="15" t="b">
        <v>1</v>
      </c>
    </row>
    <row r="32" spans="1:3" x14ac:dyDescent="0.3">
      <c r="A32" s="31" t="s">
        <v>248</v>
      </c>
      <c r="B32" s="38"/>
      <c r="C32" s="16">
        <v>45669</v>
      </c>
    </row>
    <row r="33" spans="1:3" x14ac:dyDescent="0.3">
      <c r="A33" s="31" t="s">
        <v>249</v>
      </c>
      <c r="B33" s="38"/>
      <c r="C33" s="16">
        <v>46034</v>
      </c>
    </row>
    <row r="34" spans="1:3" x14ac:dyDescent="0.3">
      <c r="A34" s="31" t="s">
        <v>250</v>
      </c>
      <c r="B34" s="38"/>
      <c r="C34" s="15" t="s">
        <v>72</v>
      </c>
    </row>
    <row r="35" spans="1:3" x14ac:dyDescent="0.3">
      <c r="A35" s="31" t="s">
        <v>251</v>
      </c>
      <c r="B35" s="38"/>
      <c r="C35" s="15">
        <v>3.0000000000000001E-3</v>
      </c>
    </row>
    <row r="36" spans="1:3" x14ac:dyDescent="0.3">
      <c r="A36" s="31" t="s">
        <v>252</v>
      </c>
      <c r="B36" s="38"/>
      <c r="C36" s="15" t="str">
        <f>_xll.qlFlatForward(B2,0.03,"actual365fixed")</f>
        <v>欣[test_swap.xlsx]MakeVanillaSwap!R36C3YieldTermStructureHandle,A</v>
      </c>
    </row>
    <row r="37" spans="1:3" x14ac:dyDescent="0.3">
      <c r="A37" s="31" t="s">
        <v>253</v>
      </c>
      <c r="B37" s="38"/>
      <c r="C37" s="15" t="str">
        <f>_xll.qlDiscountingSwapEngine(C36,TRUE)</f>
        <v>Error in arg 1 'discount_curve': Cannot convert '欣[test_swap.xlsx]MakeVanillaSwap!R36C3YieldTermStructureHandle,A': Expected cache string</v>
      </c>
    </row>
    <row r="38" spans="1:3" x14ac:dyDescent="0.3">
      <c r="A38" s="31" t="s">
        <v>254</v>
      </c>
      <c r="B38" s="38"/>
      <c r="C38" s="15" t="b">
        <v>1</v>
      </c>
    </row>
    <row r="39" spans="1:3" x14ac:dyDescent="0.3">
      <c r="A39" s="31" t="s">
        <v>255</v>
      </c>
      <c r="B39" s="38"/>
      <c r="C39" s="15" t="b">
        <v>1</v>
      </c>
    </row>
    <row r="40" spans="1:3" x14ac:dyDescent="0.3">
      <c r="A40" s="18" t="s">
        <v>225</v>
      </c>
      <c r="B40" s="39" t="str">
        <f>_xll.qlMakeVanillaSwap(B4,B6)</f>
        <v>欣[test_swap.xlsx]MakeVanillaSwap!R40C2VanillaSwap,A</v>
      </c>
      <c r="C40" s="17" t="str">
        <f>_xll.qlMakeVanillaSwap(C4,C6,C7,C8,C9,C10,C11,,C13,C14,C15,C16,C17,C18,C19,C20,C21,C22,C23,C24,C25,C26,C27,C28,C29,C30,C31,C32,C33,C34,C35,C36,C37,C38,C39)</f>
        <v>Error in arg 2 'ibor_index': Cannot convert '欣[test_swap.xlsx]MakeVanillaSwap!R6C3Euribor,A': Expected cache string</v>
      </c>
    </row>
    <row r="41" spans="1:3" x14ac:dyDescent="0.3">
      <c r="A41" s="14" t="s">
        <v>22</v>
      </c>
      <c r="B41" s="38" t="str">
        <f>_xll.qlFlatForward(B2,0.03,"actual365fixed")</f>
        <v>欣[test_swap.xlsx]MakeVanillaSwap!R41C2YieldTermStructureHandle,A</v>
      </c>
      <c r="C41" s="15"/>
    </row>
    <row r="42" spans="1:3" x14ac:dyDescent="0.3">
      <c r="A42" s="28" t="s">
        <v>21</v>
      </c>
      <c r="B42" s="38" t="str">
        <f>_xll.qlDiscountingSwapEngine(B41,TRUE)</f>
        <v>Error in arg 1 'discount_curve': Cannot convert '欣[test_swap.xlsx]MakeVanillaSwap!R41C2YieldTermStructureHandle,A': Expected cache string</v>
      </c>
      <c r="C42" s="15"/>
    </row>
    <row r="43" spans="1:3" x14ac:dyDescent="0.3">
      <c r="A43" s="47" t="s">
        <v>296</v>
      </c>
      <c r="B43" s="42" t="str">
        <f>_xll.qlInstrumentSetPricingEngine(B40,B42)</f>
        <v>Error in arg 1 'instrument': Cannot convert '欣[test_swap.xlsx]MakeVanillaSwap!R40C2VanillaSwap,A': Expected cache string</v>
      </c>
      <c r="C43" s="24"/>
    </row>
    <row r="44" spans="1:3" x14ac:dyDescent="0.3">
      <c r="A44" s="28" t="s">
        <v>17</v>
      </c>
      <c r="B44" s="38">
        <f>_xll.qlSwapNumberOfLegs(B40)</f>
        <v>2</v>
      </c>
      <c r="C44" s="15" t="str">
        <f>_xll.qlSwapNumberOfLegs(C40)</f>
        <v>Error in arg 1 'swap': Cannot convert 'Error in arg 2 'ibor_index': Cannot convert '欣[test_swap.xlsx]MakeVanillaSwap!R6C3Euribor,A': Expected cache string': Expected cache string</v>
      </c>
    </row>
    <row r="45" spans="1:3" x14ac:dyDescent="0.3">
      <c r="A45" s="23" t="s">
        <v>18</v>
      </c>
      <c r="B45" s="43">
        <f>_xll.qlSwapStartDate(B40)</f>
        <v>45667</v>
      </c>
      <c r="C45" s="25" t="str">
        <f>_xll.qlSwapStartDate(C40)</f>
        <v>Error in arg 1 'swap': Cannot convert 'Error in arg 2 'ibor_index': Cannot convert '欣[test_swap.xlsx]MakeVanillaSwap!R6C3Euribor,A': Expected cache string': Expected cache string</v>
      </c>
    </row>
    <row r="46" spans="1:3" x14ac:dyDescent="0.3">
      <c r="A46" s="46" t="s">
        <v>19</v>
      </c>
      <c r="B46" s="37">
        <f>_xll.qlSwapMaturityDate(B40)</f>
        <v>45757</v>
      </c>
      <c r="C46" s="16" t="str">
        <f>_xll.qlSwapMaturityDate(C40)</f>
        <v>Error in arg 1 'swap': Cannot convert 'Error in arg 2 'ibor_index': Cannot convert '欣[test_swap.xlsx]MakeVanillaSwap!R6C3Euribor,A': Expected cache string': Expected cache string</v>
      </c>
    </row>
    <row r="47" spans="1:3" x14ac:dyDescent="0.3">
      <c r="A47" s="23" t="s">
        <v>219</v>
      </c>
      <c r="B47" s="42" t="str">
        <f>_xll.qlSwapLeg(B40,1)</f>
        <v>欣[test_swap.xlsx]MakeVanillaSwap!R47C2CashFlow,A</v>
      </c>
      <c r="C47" s="24" t="str">
        <f>_xll.qlSwapLeg(C40,1)</f>
        <v>Error in arg 1 'swap': Cannot convert 'Error in arg 2 'ibor_index': Cannot convert '欣[test_swap.xlsx]MakeVanillaSwap!R6C3Euribor,A': Expected cache string': Expected cache string</v>
      </c>
    </row>
    <row r="48" spans="1:3" x14ac:dyDescent="0.3">
      <c r="A48" s="28" t="s">
        <v>220</v>
      </c>
      <c r="B48" s="38">
        <f>_xll.qlSwapLegNPV(B40,1)</f>
        <v>7.3687564799651785E-3</v>
      </c>
      <c r="C48" s="15" t="str">
        <f>_xll.qlSwapLegNPV(C40,1)</f>
        <v>Error in arg 1 'swap': Cannot convert 'Error in arg 2 'ibor_index': Cannot convert '欣[test_swap.xlsx]MakeVanillaSwap!R6C3Euribor,A': Expected cache string': Expected cache string</v>
      </c>
    </row>
    <row r="49" spans="1:3" x14ac:dyDescent="0.3">
      <c r="A49" s="23" t="s">
        <v>221</v>
      </c>
      <c r="B49" s="42">
        <f>_xll.qlSwapLegBPS(B40,1)</f>
        <v>2.4811671836715712E-5</v>
      </c>
      <c r="C49" s="24" t="str">
        <f>_xll.qlSwapLegBPS(C40,1)</f>
        <v>Error in arg 1 'swap': Cannot convert 'Error in arg 2 'ibor_index': Cannot convert '欣[test_swap.xlsx]MakeVanillaSwap!R6C3Euribor,A': Expected cache string': Expected cache string</v>
      </c>
    </row>
    <row r="50" spans="1:3" x14ac:dyDescent="0.3">
      <c r="A50" s="28" t="s">
        <v>222</v>
      </c>
      <c r="B50" s="38">
        <f>_xll.qlSwapStartDiscounts(B40,1)</f>
        <v>0.99983562994859365</v>
      </c>
      <c r="C50" s="15" t="str">
        <f>_xll.qlSwapStartDiscounts(C40,1)</f>
        <v>Error in arg 1 'swap': Cannot convert 'Error in arg 2 'ibor_index': Cannot convert '欣[test_swap.xlsx]MakeVanillaSwap!R6C3Euribor,A': Expected cache string': Expected cache string</v>
      </c>
    </row>
    <row r="51" spans="1:3" x14ac:dyDescent="0.3">
      <c r="A51" s="23" t="s">
        <v>223</v>
      </c>
      <c r="B51" s="42">
        <f>_xll.qlSwapEndDiscounts(B40,1)</f>
        <v>0.99246687346862839</v>
      </c>
      <c r="C51" s="24" t="str">
        <f>_xll.qlSwapEndDiscounts(C40,1)</f>
        <v>Error in arg 1 'swap': Cannot convert 'Error in arg 2 'ibor_index': Cannot convert '欣[test_swap.xlsx]MakeVanillaSwap!R6C3Euribor,A': Expected cache string': Expected cache string</v>
      </c>
    </row>
    <row r="52" spans="1:3" x14ac:dyDescent="0.3">
      <c r="A52" s="28" t="s">
        <v>20</v>
      </c>
      <c r="B52" s="38">
        <f>_xll.qlSwapNpvDateDiscount(B40)</f>
        <v>1</v>
      </c>
      <c r="C52" s="15" t="str">
        <f>_xll.qlSwapNpvDateDiscount(C40)</f>
        <v>Error in arg 1 'swap': Cannot convert 'Error in arg 2 'ibor_index': Cannot convert '欣[test_swap.xlsx]MakeVanillaSwap!R6C3Euribor,A': Expected cache string': Expected cache string</v>
      </c>
    </row>
    <row r="53" spans="1:3" x14ac:dyDescent="0.3">
      <c r="A53" s="44" t="s">
        <v>218</v>
      </c>
      <c r="B53" s="42" t="b">
        <f>_xll.qlSwapPayer(B40,0)</f>
        <v>1</v>
      </c>
      <c r="C53" s="24" t="str">
        <f>_xll.qlSwapPayer(C40,0)</f>
        <v>Error in arg 1 'swap': Cannot convert 'Error in arg 2 'ibor_index': Cannot convert '欣[test_swap.xlsx]MakeVanillaSwap!R6C3Euribor,A': Expected cache string': Expected cache string</v>
      </c>
    </row>
    <row r="54" spans="1:3" x14ac:dyDescent="0.3">
      <c r="A54" s="28" t="s">
        <v>275</v>
      </c>
      <c r="B54" s="38" t="str">
        <f>_xll.qlFixedVsFloatingSwapType(B40)</f>
        <v>PAYER</v>
      </c>
      <c r="C54" s="15" t="str">
        <f>_xll.qlFixedVsFloatingSwapType(C40)</f>
        <v>Error in arg 1 'swap': Cannot convert 'Error in arg 2 'ibor_index': Cannot convert '欣[test_swap.xlsx]MakeVanillaSwap!R6C3Euribor,A': Expected cache string': Expected cache string</v>
      </c>
    </row>
    <row r="55" spans="1:3" x14ac:dyDescent="0.3">
      <c r="A55" s="23" t="s">
        <v>276</v>
      </c>
      <c r="B55" s="42">
        <f>_xll.qlFixedVsFloatingSwapNominal(B40)</f>
        <v>1</v>
      </c>
      <c r="C55" s="24" t="str">
        <f>_xll.qlFixedVsFloatingSwapNominal(C40)</f>
        <v>Error in arg 1 'swap': Cannot convert 'Error in arg 2 'ibor_index': Cannot convert '欣[test_swap.xlsx]MakeVanillaSwap!R6C3Euribor,A': Expected cache string': Expected cache string</v>
      </c>
    </row>
    <row r="56" spans="1:3" x14ac:dyDescent="0.3">
      <c r="A56" s="46" t="s">
        <v>277</v>
      </c>
      <c r="B56" s="38">
        <f>_xll.qlFixedVsFloatingSwapNominals(B40)</f>
        <v>1</v>
      </c>
      <c r="C56" s="15" t="str">
        <f>_xll.qlFixedVsFloatingSwapNominals(C40)</f>
        <v>Error in arg 1 'swap': Cannot convert 'Error in arg 2 'ibor_index': Cannot convert '欣[test_swap.xlsx]MakeVanillaSwap!R6C3Euribor,A': Expected cache string': Expected cache string</v>
      </c>
    </row>
    <row r="57" spans="1:3" x14ac:dyDescent="0.3">
      <c r="A57" s="44" t="s">
        <v>278</v>
      </c>
      <c r="B57" s="42">
        <f>_xll.qlFixedVsFloatingSwapFixedNominals(B40)</f>
        <v>1</v>
      </c>
      <c r="C57" s="24" t="str">
        <f>_xll.qlFixedVsFloatingSwapFixedNominals(C40)</f>
        <v>Error in arg 1 'swap': Cannot convert 'Error in arg 2 'ibor_index': Cannot convert '欣[test_swap.xlsx]MakeVanillaSwap!R6C3Euribor,A': Expected cache string': Expected cache string</v>
      </c>
    </row>
    <row r="58" spans="1:3" x14ac:dyDescent="0.3">
      <c r="A58" s="46" t="s">
        <v>279</v>
      </c>
      <c r="B58" s="38" t="str">
        <f>_xll.qlFixedVsFloatingSwapFixedSchedule(B40)</f>
        <v>欣[test_swap.xlsx]MakeVanillaSwap!R58C2Schedule,A</v>
      </c>
      <c r="C58" s="15" t="str">
        <f>_xll.qlFixedVsFloatingSwapFixedSchedule(C40)</f>
        <v>Error in arg 1 'swap': Cannot convert 'Error in arg 2 'ibor_index': Cannot convert '欣[test_swap.xlsx]MakeVanillaSwap!R6C3Euribor,A': Expected cache string': Expected cache string</v>
      </c>
    </row>
    <row r="59" spans="1:3" x14ac:dyDescent="0.3">
      <c r="A59" s="44" t="s">
        <v>280</v>
      </c>
      <c r="B59" s="42">
        <f>_xll.qlFixedVsFloatingSwapFixedRate(B40)</f>
        <v>2.9698750364177681E-2</v>
      </c>
      <c r="C59" s="24" t="str">
        <f>_xll.qlFixedVsFloatingSwapFixedRate(C40)</f>
        <v>Error in arg 1 'swap': Cannot convert 'Error in arg 2 'ibor_index': Cannot convert '欣[test_swap.xlsx]MakeVanillaSwap!R6C3Euribor,A': Expected cache string': Expected cache string</v>
      </c>
    </row>
    <row r="60" spans="1:3" x14ac:dyDescent="0.3">
      <c r="A60" s="46" t="s">
        <v>281</v>
      </c>
      <c r="B60" s="38" t="str">
        <f>_xll.qlFixedVsFloatingSwapFixedDayCount(B40)</f>
        <v>30/360 (Bond Basis)</v>
      </c>
      <c r="C60" s="15" t="str">
        <f>_xll.qlFixedVsFloatingSwapFixedDayCount(C40)</f>
        <v>Error in arg 1 'swap': Cannot convert 'Error in arg 2 'ibor_index': Cannot convert '欣[test_swap.xlsx]MakeVanillaSwap!R6C3Euribor,A': Expected cache string': Expected cache string</v>
      </c>
    </row>
    <row r="61" spans="1:3" x14ac:dyDescent="0.3">
      <c r="A61" s="44" t="s">
        <v>282</v>
      </c>
      <c r="B61" s="42">
        <f>_xll.qlFixedVsFloatingSwapFloatingNominals(B40)</f>
        <v>1</v>
      </c>
      <c r="C61" s="24" t="str">
        <f>_xll.qlFixedVsFloatingSwapFloatingNominals(C40)</f>
        <v>Error in arg 1 'swap': Cannot convert 'Error in arg 2 'ibor_index': Cannot convert '欣[test_swap.xlsx]MakeVanillaSwap!R6C3Euribor,A': Expected cache string': Expected cache string</v>
      </c>
    </row>
    <row r="62" spans="1:3" x14ac:dyDescent="0.3">
      <c r="A62" s="28" t="s">
        <v>284</v>
      </c>
      <c r="B62" s="38" t="str">
        <f>_xll.qlFixedVsFloatingSwapFloatingSchedule(B40)</f>
        <v>欣[test_swap.xlsx]MakeVanillaSwap!R62C2Schedule,A</v>
      </c>
      <c r="C62" s="15" t="str">
        <f>_xll.qlFixedVsFloatingSwapFloatingSchedule(C40)</f>
        <v>Error in arg 1 'swap': Cannot convert 'Error in arg 2 'ibor_index': Cannot convert '欣[test_swap.xlsx]MakeVanillaSwap!R6C3Euribor,A': Expected cache string': Expected cache string</v>
      </c>
    </row>
    <row r="63" spans="1:3" x14ac:dyDescent="0.3">
      <c r="A63" s="23" t="s">
        <v>283</v>
      </c>
      <c r="B63" s="42" t="str">
        <f>_xll.qlFixedVsFloatingSwapIborIndex(B40)</f>
        <v>欣[test_swap.xlsx]MakeVanillaSwap!R63C2IborIndex,A</v>
      </c>
      <c r="C63" s="24" t="str">
        <f>_xll.qlFixedVsFloatingSwapIborIndex(C40)</f>
        <v>Error in arg 1 'swap': Cannot convert 'Error in arg 2 'ibor_index': Cannot convert '欣[test_swap.xlsx]MakeVanillaSwap!R6C3Euribor,A': Expected cache string': Expected cache string</v>
      </c>
    </row>
    <row r="64" spans="1:3" x14ac:dyDescent="0.3">
      <c r="A64" s="28" t="s">
        <v>285</v>
      </c>
      <c r="B64" s="38">
        <f>_xll.qlFixedVsFloatingSwapSpread(B40)</f>
        <v>0</v>
      </c>
      <c r="C64" s="15" t="str">
        <f>_xll.qlFixedVsFloatingSwapSpread(C40)</f>
        <v>Error in arg 1 'swap': Cannot convert 'Error in arg 2 'ibor_index': Cannot convert '欣[test_swap.xlsx]MakeVanillaSwap!R6C3Euribor,A': Expected cache string': Expected cache string</v>
      </c>
    </row>
    <row r="65" spans="1:3" x14ac:dyDescent="0.3">
      <c r="A65" s="23" t="s">
        <v>286</v>
      </c>
      <c r="B65" s="42" t="str">
        <f>_xll.qlFixedVsFloatingSwapFloatingDayCount(B40)</f>
        <v>Actual/360</v>
      </c>
      <c r="C65" s="24" t="str">
        <f>_xll.qlFixedVsFloatingSwapFloatingDayCount(C40)</f>
        <v>Error in arg 1 'swap': Cannot convert 'Error in arg 2 'ibor_index': Cannot convert '欣[test_swap.xlsx]MakeVanillaSwap!R6C3Euribor,A': Expected cache string': Expected cache string</v>
      </c>
    </row>
    <row r="66" spans="1:3" x14ac:dyDescent="0.3">
      <c r="A66" s="28" t="s">
        <v>287</v>
      </c>
      <c r="B66" s="38" t="str">
        <f>_xll.qlFixedVsFloatingSwapPaymentConvention(B40)</f>
        <v>MODIFIEDFOLLOWING</v>
      </c>
      <c r="C66" s="15" t="str">
        <f>_xll.qlFixedVsFloatingSwapPaymentConvention(C40)</f>
        <v>Error in arg 1 'swap': Cannot convert 'Error in arg 2 'ibor_index': Cannot convert '欣[test_swap.xlsx]MakeVanillaSwap!R6C3Euribor,A': Expected cache string': Expected cache string</v>
      </c>
    </row>
    <row r="67" spans="1:3" x14ac:dyDescent="0.3">
      <c r="A67" s="23" t="s">
        <v>288</v>
      </c>
      <c r="B67" s="42" t="str">
        <f>_xll.qlFixedVsFloatingSwapFixedLeg(B40)</f>
        <v>欣[test_swap.xlsx]MakeVanillaSwap!R67C2CashFlow,A</v>
      </c>
      <c r="C67" s="24" t="str">
        <f>_xll.qlFixedVsFloatingSwapFixedLeg(C40)</f>
        <v>Error in arg 1 'swap': Cannot convert 'Error in arg 2 'ibor_index': Cannot convert '欣[test_swap.xlsx]MakeVanillaSwap!R6C3Euribor,A': Expected cache string': Expected cache string</v>
      </c>
    </row>
    <row r="68" spans="1:3" x14ac:dyDescent="0.3">
      <c r="A68" s="28" t="s">
        <v>289</v>
      </c>
      <c r="B68" s="38" t="str">
        <f>_xll.qlFixedVsFloatingSwapFloatingLeg(B40)</f>
        <v>欣[test_swap.xlsx]MakeVanillaSwap!R68C2CashFlow,A</v>
      </c>
      <c r="C68" s="15" t="str">
        <f>_xll.qlFixedVsFloatingSwapFloatingLeg(C40)</f>
        <v>Error in arg 1 'swap': Cannot convert 'Error in arg 2 'ibor_index': Cannot convert '欣[test_swap.xlsx]MakeVanillaSwap!R6C3Euribor,A': Expected cache string': Expected cache string</v>
      </c>
    </row>
    <row r="69" spans="1:3" x14ac:dyDescent="0.3">
      <c r="A69" s="23" t="s">
        <v>290</v>
      </c>
      <c r="B69" s="42">
        <f>_xll.qlFixedVsFloatingSwapFixedLegBPS(B40)</f>
        <v>-2.4811671836715712E-5</v>
      </c>
      <c r="C69" s="24" t="str">
        <f>_xll.qlFixedVsFloatingSwapFixedLegBPS(C40)</f>
        <v>Error in arg 1 'swap': Cannot convert 'Error in arg 2 'ibor_index': Cannot convert '欣[test_swap.xlsx]MakeVanillaSwap!R6C3Euribor,A': Expected cache string': Expected cache string</v>
      </c>
    </row>
    <row r="70" spans="1:3" x14ac:dyDescent="0.3">
      <c r="A70" s="28" t="s">
        <v>291</v>
      </c>
      <c r="B70" s="38">
        <f>_xll.qlFixedVsFloatingSwapFixedLegNPV(B40)</f>
        <v>-7.3687564799651785E-3</v>
      </c>
      <c r="C70" s="15" t="str">
        <f>_xll.qlFixedVsFloatingSwapFixedLegNPV(C40)</f>
        <v>Error in arg 1 'swap': Cannot convert 'Error in arg 2 'ibor_index': Cannot convert '欣[test_swap.xlsx]MakeVanillaSwap!R6C3Euribor,A': Expected cache string': Expected cache string</v>
      </c>
    </row>
    <row r="71" spans="1:3" x14ac:dyDescent="0.3">
      <c r="A71" s="23" t="s">
        <v>292</v>
      </c>
      <c r="B71" s="42">
        <f>_xll.qlFixedVsFloatingSwapFairRate(B40)</f>
        <v>2.9698750364177681E-2</v>
      </c>
      <c r="C71" s="24" t="str">
        <f>_xll.qlFixedVsFloatingSwapFairRate(C40)</f>
        <v>Error in arg 1 'swap': Cannot convert 'Error in arg 2 'ibor_index': Cannot convert '欣[test_swap.xlsx]MakeVanillaSwap!R6C3Euribor,A': Expected cache string': Expected cache string</v>
      </c>
    </row>
    <row r="72" spans="1:3" x14ac:dyDescent="0.3">
      <c r="A72" s="28" t="s">
        <v>293</v>
      </c>
      <c r="B72" s="38">
        <f>_xll.qlFixedVsFloatingSwapFloatingLegBPS(B40)</f>
        <v>2.4811671836715712E-5</v>
      </c>
      <c r="C72" s="15" t="str">
        <f>_xll.qlFixedVsFloatingSwapFloatingLegBPS(C40)</f>
        <v>Error in arg 1 'swap': Cannot convert 'Error in arg 2 'ibor_index': Cannot convert '欣[test_swap.xlsx]MakeVanillaSwap!R6C3Euribor,A': Expected cache string': Expected cache string</v>
      </c>
    </row>
    <row r="73" spans="1:3" x14ac:dyDescent="0.3">
      <c r="A73" s="23" t="s">
        <v>294</v>
      </c>
      <c r="B73" s="42">
        <f>_xll.qlFixedVsFloatingSwapFloatingLegNPV(B40)</f>
        <v>7.3687564799651785E-3</v>
      </c>
      <c r="C73" s="24" t="str">
        <f>_xll.qlFixedVsFloatingSwapFloatingLegNPV(C40)</f>
        <v>Error in arg 1 'swap': Cannot convert 'Error in arg 2 'ibor_index': Cannot convert '欣[test_swap.xlsx]MakeVanillaSwap!R6C3Euribor,A': Expected cache string': Expected cache string</v>
      </c>
    </row>
    <row r="74" spans="1:3" x14ac:dyDescent="0.3">
      <c r="A74" s="18" t="s">
        <v>295</v>
      </c>
      <c r="B74" s="39">
        <f>_xll.qlFixedVsFloatingSwapFairSpread(B40)</f>
        <v>0</v>
      </c>
      <c r="C74" s="17" t="str">
        <f>_xll.qlFixedVsFloatingSwapFairSpread(C40)</f>
        <v>Error in arg 1 'swap': Cannot convert 'Error in arg 2 'ibor_index': Cannot convert '欣[test_swap.xlsx]MakeVanillaSwap!R6C3Euribor,A': Expected cache string': Expected cache string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E3443-1F61-4CD4-9E60-3D9682C914F4}">
  <dimension ref="A1:J8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8.88671875" customWidth="1"/>
    <col min="2" max="3" width="66.6640625" style="3" bestFit="1" customWidth="1"/>
    <col min="5" max="5" width="12" bestFit="1" customWidth="1"/>
  </cols>
  <sheetData>
    <row r="1" spans="1:10" x14ac:dyDescent="0.3">
      <c r="A1" s="30" t="s">
        <v>13</v>
      </c>
      <c r="B1" s="13">
        <v>45665</v>
      </c>
    </row>
    <row r="2" spans="1:10" x14ac:dyDescent="0.3">
      <c r="A2" s="32" t="s">
        <v>14</v>
      </c>
      <c r="B2" s="35">
        <f>_xll.qlSettingsSetEvaluationDate(B1)</f>
        <v>45665</v>
      </c>
    </row>
    <row r="4" spans="1:10" x14ac:dyDescent="0.3">
      <c r="A4" s="30" t="s">
        <v>60</v>
      </c>
      <c r="B4" s="36" t="s">
        <v>58</v>
      </c>
      <c r="C4" s="22" t="s">
        <v>102</v>
      </c>
    </row>
    <row r="5" spans="1:10" x14ac:dyDescent="0.3">
      <c r="A5" s="53" t="s">
        <v>76</v>
      </c>
      <c r="B5" s="36">
        <v>100</v>
      </c>
      <c r="C5" s="22">
        <v>100</v>
      </c>
    </row>
    <row r="6" spans="1:10" x14ac:dyDescent="0.3">
      <c r="A6" s="20" t="s">
        <v>76</v>
      </c>
      <c r="B6" s="38">
        <v>110</v>
      </c>
      <c r="C6" s="15">
        <v>110</v>
      </c>
    </row>
    <row r="7" spans="1:10" x14ac:dyDescent="0.3">
      <c r="A7" s="21" t="s">
        <v>76</v>
      </c>
      <c r="B7" s="39">
        <v>120</v>
      </c>
      <c r="C7" s="17">
        <v>120</v>
      </c>
    </row>
    <row r="8" spans="1:10" x14ac:dyDescent="0.3">
      <c r="A8" s="20" t="s">
        <v>77</v>
      </c>
      <c r="B8" s="38">
        <v>200</v>
      </c>
      <c r="C8" s="15">
        <v>200</v>
      </c>
    </row>
    <row r="9" spans="1:10" x14ac:dyDescent="0.3">
      <c r="A9" s="20" t="s">
        <v>77</v>
      </c>
      <c r="B9" s="38">
        <v>210</v>
      </c>
      <c r="C9" s="15">
        <v>210</v>
      </c>
    </row>
    <row r="10" spans="1:10" x14ac:dyDescent="0.3">
      <c r="A10" s="20" t="s">
        <v>77</v>
      </c>
      <c r="B10" s="38">
        <v>220</v>
      </c>
      <c r="C10" s="15">
        <v>220</v>
      </c>
    </row>
    <row r="11" spans="1:10" x14ac:dyDescent="0.3">
      <c r="A11" s="12" t="s">
        <v>40</v>
      </c>
      <c r="B11" s="36" t="s">
        <v>41</v>
      </c>
      <c r="C11" s="22" t="s">
        <v>41</v>
      </c>
    </row>
    <row r="12" spans="1:10" x14ac:dyDescent="0.3">
      <c r="A12" s="14" t="s">
        <v>42</v>
      </c>
      <c r="B12" s="37">
        <v>46030</v>
      </c>
      <c r="C12" s="16">
        <v>46030</v>
      </c>
    </row>
    <row r="13" spans="1:10" x14ac:dyDescent="0.3">
      <c r="A13" s="14" t="s">
        <v>43</v>
      </c>
      <c r="B13" s="37">
        <v>47126</v>
      </c>
      <c r="C13" s="16">
        <v>47126</v>
      </c>
    </row>
    <row r="14" spans="1:10" x14ac:dyDescent="0.3">
      <c r="A14" s="14" t="s">
        <v>44</v>
      </c>
      <c r="B14" s="38" t="s">
        <v>74</v>
      </c>
      <c r="C14" s="15" t="s">
        <v>74</v>
      </c>
      <c r="J14" s="3"/>
    </row>
    <row r="15" spans="1:10" x14ac:dyDescent="0.3">
      <c r="A15" s="14" t="s">
        <v>46</v>
      </c>
      <c r="B15" s="38" t="s">
        <v>47</v>
      </c>
      <c r="C15" s="15" t="s">
        <v>47</v>
      </c>
    </row>
    <row r="16" spans="1:10" x14ac:dyDescent="0.3">
      <c r="A16" s="32" t="s">
        <v>83</v>
      </c>
      <c r="B16" s="39" t="str">
        <f>_xll.qlMakeSchedule(B12,B13,B14,,B11,B15)</f>
        <v>欣[test_swap.xlsx]NonStandardSwap!R16C2Schedule,A</v>
      </c>
      <c r="C16" s="17" t="str">
        <f>_xll.qlMakeSchedule(C12,C13,C14,,C11,C15)</f>
        <v>欣[test_swap.xlsx]NonStandardSwap!R16C3Schedule,A</v>
      </c>
    </row>
    <row r="17" spans="1:3" x14ac:dyDescent="0.3">
      <c r="A17" s="53" t="s">
        <v>63</v>
      </c>
      <c r="B17" s="36">
        <v>0.03</v>
      </c>
      <c r="C17" s="22">
        <v>0.03</v>
      </c>
    </row>
    <row r="18" spans="1:3" x14ac:dyDescent="0.3">
      <c r="A18" s="20" t="s">
        <v>63</v>
      </c>
      <c r="B18" s="38">
        <v>3.3000000000000002E-2</v>
      </c>
      <c r="C18" s="15">
        <v>3.3000000000000002E-2</v>
      </c>
    </row>
    <row r="19" spans="1:3" x14ac:dyDescent="0.3">
      <c r="A19" s="21" t="s">
        <v>63</v>
      </c>
      <c r="B19" s="39">
        <v>3.5999999999999997E-2</v>
      </c>
      <c r="C19" s="17">
        <v>3.5999999999999997E-2</v>
      </c>
    </row>
    <row r="20" spans="1:3" x14ac:dyDescent="0.3">
      <c r="A20" s="31" t="s">
        <v>64</v>
      </c>
      <c r="B20" s="38" t="s">
        <v>84</v>
      </c>
      <c r="C20" s="15" t="s">
        <v>84</v>
      </c>
    </row>
    <row r="21" spans="1:3" x14ac:dyDescent="0.3">
      <c r="A21" s="12" t="s">
        <v>40</v>
      </c>
      <c r="B21" s="36" t="s">
        <v>41</v>
      </c>
      <c r="C21" s="22" t="s">
        <v>41</v>
      </c>
    </row>
    <row r="22" spans="1:3" x14ac:dyDescent="0.3">
      <c r="A22" s="14" t="s">
        <v>42</v>
      </c>
      <c r="B22" s="37">
        <v>46030</v>
      </c>
      <c r="C22" s="16">
        <v>46030</v>
      </c>
    </row>
    <row r="23" spans="1:3" x14ac:dyDescent="0.3">
      <c r="A23" s="14" t="s">
        <v>43</v>
      </c>
      <c r="B23" s="37">
        <v>47126</v>
      </c>
      <c r="C23" s="16">
        <v>47126</v>
      </c>
    </row>
    <row r="24" spans="1:3" x14ac:dyDescent="0.3">
      <c r="A24" s="14" t="s">
        <v>44</v>
      </c>
      <c r="B24" s="38" t="s">
        <v>74</v>
      </c>
      <c r="C24" s="15" t="s">
        <v>74</v>
      </c>
    </row>
    <row r="25" spans="1:3" x14ac:dyDescent="0.3">
      <c r="A25" s="14" t="s">
        <v>46</v>
      </c>
      <c r="B25" s="38" t="s">
        <v>47</v>
      </c>
      <c r="C25" s="15" t="s">
        <v>47</v>
      </c>
    </row>
    <row r="26" spans="1:3" x14ac:dyDescent="0.3">
      <c r="A26" s="32" t="s">
        <v>65</v>
      </c>
      <c r="B26" s="39" t="str">
        <f>_xll.qlMakeSchedule(B22,B23,B24,,B21,B25)</f>
        <v>欣[test_swap.xlsx]NonStandardSwap!R26C2Schedule,A</v>
      </c>
      <c r="C26" s="17" t="str">
        <f>_xll.qlMakeSchedule(C22,C23,C24,,C21,C25)</f>
        <v>欣[test_swap.xlsx]NonStandardSwap!R26C3Schedule,A</v>
      </c>
    </row>
    <row r="27" spans="1:3" x14ac:dyDescent="0.3">
      <c r="A27" s="12" t="s">
        <v>22</v>
      </c>
      <c r="B27" s="36" t="str">
        <f>_xll.qlFlatForward(B2,0.03,"actual365fixed")</f>
        <v>欣[test_swap.xlsx]NonStandardSwap!R27C2YieldTermStructureHandle,A</v>
      </c>
      <c r="C27" s="22" t="str">
        <f>_xll.qlFlatForward(B2,0.03,"actual365fixed")</f>
        <v>欣[test_swap.xlsx]NonStandardSwap!R27C3YieldTermStructureHandle,A</v>
      </c>
    </row>
    <row r="28" spans="1:3" x14ac:dyDescent="0.3">
      <c r="A28" s="32" t="s">
        <v>66</v>
      </c>
      <c r="B28" s="39" t="str">
        <f>_xll.qlEuribor("3m",B27,B2)</f>
        <v>欣[test_swap.xlsx]NonStandardSwap!R28C2Euribor,A</v>
      </c>
      <c r="C28" s="17" t="str">
        <f>_xll.qlEuribor("3m",C27,B2)</f>
        <v>欣[test_swap.xlsx]NonStandardSwap!R28C3Euribor,A</v>
      </c>
    </row>
    <row r="29" spans="1:3" x14ac:dyDescent="0.3">
      <c r="A29" s="20" t="s">
        <v>78</v>
      </c>
      <c r="B29" s="38">
        <v>0</v>
      </c>
      <c r="C29" s="15">
        <v>0</v>
      </c>
    </row>
    <row r="30" spans="1:3" x14ac:dyDescent="0.3">
      <c r="A30" s="20" t="s">
        <v>78</v>
      </c>
      <c r="B30" s="38">
        <v>1</v>
      </c>
      <c r="C30" s="15">
        <v>1</v>
      </c>
    </row>
    <row r="31" spans="1:3" x14ac:dyDescent="0.3">
      <c r="A31" s="20" t="s">
        <v>78</v>
      </c>
      <c r="B31" s="38">
        <v>2</v>
      </c>
      <c r="C31" s="15">
        <v>2</v>
      </c>
    </row>
    <row r="32" spans="1:3" x14ac:dyDescent="0.3">
      <c r="A32" s="53" t="s">
        <v>67</v>
      </c>
      <c r="B32" s="36">
        <v>1E-3</v>
      </c>
      <c r="C32" s="22">
        <v>1E-3</v>
      </c>
    </row>
    <row r="33" spans="1:3" x14ac:dyDescent="0.3">
      <c r="A33" s="20" t="s">
        <v>67</v>
      </c>
      <c r="B33" s="38">
        <v>2E-3</v>
      </c>
      <c r="C33" s="15">
        <v>2E-3</v>
      </c>
    </row>
    <row r="34" spans="1:3" x14ac:dyDescent="0.3">
      <c r="A34" s="21" t="s">
        <v>67</v>
      </c>
      <c r="B34" s="39">
        <v>3.0000000000000001E-3</v>
      </c>
      <c r="C34" s="17">
        <v>3.0000000000000001E-3</v>
      </c>
    </row>
    <row r="35" spans="1:3" x14ac:dyDescent="0.3">
      <c r="A35" s="31" t="s">
        <v>79</v>
      </c>
      <c r="B35" s="38" t="s">
        <v>72</v>
      </c>
      <c r="C35" s="15" t="s">
        <v>72</v>
      </c>
    </row>
    <row r="36" spans="1:3" x14ac:dyDescent="0.3">
      <c r="A36" s="31" t="s">
        <v>80</v>
      </c>
      <c r="B36" s="38"/>
      <c r="C36" s="15" t="b">
        <v>1</v>
      </c>
    </row>
    <row r="37" spans="1:3" x14ac:dyDescent="0.3">
      <c r="A37" s="31" t="s">
        <v>81</v>
      </c>
      <c r="B37" s="38"/>
      <c r="C37" s="15" t="b">
        <v>1</v>
      </c>
    </row>
    <row r="38" spans="1:3" x14ac:dyDescent="0.3">
      <c r="A38" s="31" t="s">
        <v>69</v>
      </c>
      <c r="B38" s="38"/>
      <c r="C38" s="15" t="s">
        <v>82</v>
      </c>
    </row>
    <row r="39" spans="1:3" x14ac:dyDescent="0.3">
      <c r="A39" s="31" t="s">
        <v>137</v>
      </c>
      <c r="B39" s="38"/>
      <c r="C39" s="15">
        <v>0</v>
      </c>
    </row>
    <row r="40" spans="1:3" x14ac:dyDescent="0.3">
      <c r="A40" s="31" t="s">
        <v>139</v>
      </c>
      <c r="B40" s="38"/>
      <c r="C40" s="15" t="s">
        <v>41</v>
      </c>
    </row>
    <row r="41" spans="1:3" x14ac:dyDescent="0.3">
      <c r="A41" s="18" t="s">
        <v>85</v>
      </c>
      <c r="B41" s="39" t="str">
        <f>_xll.qlNonstandardSwap(B4,B5:B7,B8:B10,B16,B17:B19,B20,B26,B28,B29:B31,B32:B34,B35)</f>
        <v>欣[test_swap.xlsx]NonStandardSwap!R41C2NonstandardSwap,A</v>
      </c>
      <c r="C41" s="17" t="str">
        <f>_xll.qlNonstandardSwap(C4,C5:C7,C8:C10,C16,C17:C19,C20,C26,C28,C29:C31,C32:C34,C35,C36,C37,C38,C39,C40)</f>
        <v>欣[test_swap.xlsx]NonStandardSwap!R41C3NonstandardSwap,A</v>
      </c>
    </row>
    <row r="42" spans="1:3" x14ac:dyDescent="0.3">
      <c r="A42" s="12" t="s">
        <v>22</v>
      </c>
      <c r="B42" s="36" t="str">
        <f>_xll.qlFlatForward(B2,0.03,"actual365fixed")</f>
        <v>欣[test_swap.xlsx]NonStandardSwap!R42C2YieldTermStructureHandle,A</v>
      </c>
      <c r="C42" s="22" t="str">
        <f>_xll.qlFlatForward(B2,0.03,"actual365fixed")</f>
        <v>欣[test_swap.xlsx]NonStandardSwap!R42C3YieldTermStructureHandle,A</v>
      </c>
    </row>
    <row r="43" spans="1:3" x14ac:dyDescent="0.3">
      <c r="A43" s="14" t="s">
        <v>23</v>
      </c>
      <c r="B43" s="38" t="b">
        <v>0</v>
      </c>
      <c r="C43" s="15" t="b">
        <v>0</v>
      </c>
    </row>
    <row r="44" spans="1:3" x14ac:dyDescent="0.3">
      <c r="A44" s="14" t="s">
        <v>24</v>
      </c>
      <c r="B44" s="37">
        <v>45665</v>
      </c>
      <c r="C44" s="16">
        <v>45665</v>
      </c>
    </row>
    <row r="45" spans="1:3" x14ac:dyDescent="0.3">
      <c r="A45" s="14" t="s">
        <v>25</v>
      </c>
      <c r="B45" s="38"/>
      <c r="C45" s="15"/>
    </row>
    <row r="46" spans="1:3" x14ac:dyDescent="0.3">
      <c r="A46" s="18" t="s">
        <v>21</v>
      </c>
      <c r="B46" s="39" t="str">
        <f>_xll.qlDiscountingSwapEngine(B42,B43)</f>
        <v>欣[test_swap.xlsx]NonStandardSwap!R46C2DiscountingSwapEngine,A</v>
      </c>
      <c r="C46" s="17" t="str">
        <f>_xll.qlDiscountingSwapEngine(C42,C43)</f>
        <v>欣[test_swap.xlsx]NonStandardSwap!R46C3DiscountingSwapEngine,A</v>
      </c>
    </row>
    <row r="47" spans="1:3" x14ac:dyDescent="0.3">
      <c r="A47" s="26" t="s">
        <v>296</v>
      </c>
      <c r="B47" s="45" t="b">
        <f>_xll.qlInstrumentSetPricingEngine(B41,B46)</f>
        <v>1</v>
      </c>
      <c r="C47" s="15" t="b">
        <f>_xll.qlInstrumentSetPricingEngine(C41,C46)</f>
        <v>1</v>
      </c>
    </row>
    <row r="48" spans="1:3" x14ac:dyDescent="0.3">
      <c r="A48" s="23" t="s">
        <v>17</v>
      </c>
      <c r="B48" s="42">
        <f>_xll.qlSwapNumberOfLegs(B41)</f>
        <v>2</v>
      </c>
      <c r="C48" s="24">
        <f>_xll.qlSwapNumberOfLegs(C41)</f>
        <v>2</v>
      </c>
    </row>
    <row r="49" spans="1:3" x14ac:dyDescent="0.3">
      <c r="A49" s="28" t="s">
        <v>18</v>
      </c>
      <c r="B49" s="37">
        <f>_xll.qlSwapStartDate(B41)</f>
        <v>46030</v>
      </c>
      <c r="C49" s="16">
        <f>_xll.qlSwapStartDate(C41)</f>
        <v>46030</v>
      </c>
    </row>
    <row r="50" spans="1:3" x14ac:dyDescent="0.3">
      <c r="A50" s="23" t="s">
        <v>19</v>
      </c>
      <c r="B50" s="43">
        <f>_xll.qlSwapMaturityDate(B41)</f>
        <v>47126</v>
      </c>
      <c r="C50" s="25">
        <f>_xll.qlSwapMaturityDate(C41)</f>
        <v>47126</v>
      </c>
    </row>
    <row r="51" spans="1:3" x14ac:dyDescent="0.3">
      <c r="A51" s="28" t="s">
        <v>219</v>
      </c>
      <c r="B51" s="38" t="str">
        <f>_xll.qlSwapLeg(B41,1)</f>
        <v>欣[test_swap.xlsx]NonStandardSwap!R51C2CashFlow,A</v>
      </c>
      <c r="C51" s="15" t="str">
        <f>_xll.qlSwapLeg(C41,1)</f>
        <v>欣[test_swap.xlsx]NonStandardSwap!R51C3CashFlow,A</v>
      </c>
    </row>
    <row r="52" spans="1:3" x14ac:dyDescent="0.3">
      <c r="A52" s="23" t="s">
        <v>220</v>
      </c>
      <c r="B52" s="42">
        <f>_xll.qlSwapLegNPV(B41,1,B47)</f>
        <v>18.901297246099499</v>
      </c>
      <c r="C52" s="24">
        <f>_xll.qlSwapLegNPV(C41,1,C47)</f>
        <v>-195.45230155810324</v>
      </c>
    </row>
    <row r="53" spans="1:3" x14ac:dyDescent="0.3">
      <c r="A53" s="28" t="s">
        <v>221</v>
      </c>
      <c r="B53" s="38">
        <f>_xll.qlSwapLegBPS(B41,1,B47)</f>
        <v>5.8386850248656759E-2</v>
      </c>
      <c r="C53" s="15">
        <f>_xll.qlSwapLegBPS(C41,1,C47)</f>
        <v>-5.8386850248656759E-2</v>
      </c>
    </row>
    <row r="54" spans="1:3" x14ac:dyDescent="0.3">
      <c r="A54" s="23" t="s">
        <v>222</v>
      </c>
      <c r="B54" s="42">
        <f>_xll.qlSwapStartDiscounts(B41,1,B47)</f>
        <v>0.97044553354850815</v>
      </c>
      <c r="C54" s="24">
        <f>_xll.qlSwapStartDiscounts(C41,1,C47)</f>
        <v>0.97044553354850815</v>
      </c>
    </row>
    <row r="55" spans="1:3" x14ac:dyDescent="0.3">
      <c r="A55" s="28" t="s">
        <v>223</v>
      </c>
      <c r="B55" s="38">
        <f>_xll.qlSwapEndDiscounts(B41,1,B47)</f>
        <v>0.88684754214272488</v>
      </c>
      <c r="C55" s="15">
        <f>_xll.qlSwapEndDiscounts(C41,1,C47)</f>
        <v>0.88684754214272488</v>
      </c>
    </row>
    <row r="56" spans="1:3" x14ac:dyDescent="0.3">
      <c r="A56" s="23" t="s">
        <v>20</v>
      </c>
      <c r="B56" s="42">
        <f>_xll.qlSwapNpvDateDiscount(B41,B47)</f>
        <v>1</v>
      </c>
      <c r="C56" s="24">
        <f>_xll.qlSwapNpvDateDiscount(C41,C47)</f>
        <v>1</v>
      </c>
    </row>
    <row r="57" spans="1:3" x14ac:dyDescent="0.3">
      <c r="A57" s="46" t="s">
        <v>218</v>
      </c>
      <c r="B57" s="38" t="b">
        <f>_xll.qlSwapPayer(B41,0)</f>
        <v>1</v>
      </c>
      <c r="C57" s="15" t="b">
        <f>_xll.qlSwapPayer(C41,0)</f>
        <v>0</v>
      </c>
    </row>
    <row r="58" spans="1:3" x14ac:dyDescent="0.3">
      <c r="A58" s="23" t="s">
        <v>86</v>
      </c>
      <c r="B58" s="42" t="str">
        <f>_xll.qlNonstandardSwapType(B41)</f>
        <v>PAYER</v>
      </c>
      <c r="C58" s="24" t="str">
        <f>_xll.qlNonstandardSwapType(C41)</f>
        <v>RECEIVER</v>
      </c>
    </row>
    <row r="59" spans="1:3" x14ac:dyDescent="0.3">
      <c r="A59" s="54" t="s">
        <v>87</v>
      </c>
      <c r="B59" s="36">
        <f>_xll.qlNonstandardSwapFixedNominal(B41)</f>
        <v>100</v>
      </c>
      <c r="C59" s="22">
        <f>_xll.qlNonstandardSwapFixedNominal(C41)</f>
        <v>100</v>
      </c>
    </row>
    <row r="60" spans="1:3" x14ac:dyDescent="0.3">
      <c r="A60" s="55" t="s">
        <v>87</v>
      </c>
      <c r="B60" s="56" t="s">
        <v>313</v>
      </c>
      <c r="C60" s="57" t="s">
        <v>313</v>
      </c>
    </row>
    <row r="61" spans="1:3" x14ac:dyDescent="0.3">
      <c r="A61" s="63" t="s">
        <v>88</v>
      </c>
      <c r="B61" s="38">
        <f>_xll.qlNonstandardSwapFloatingNominal(B41)</f>
        <v>200</v>
      </c>
      <c r="C61" s="15">
        <f>_xll.qlNonstandardSwapFloatingNominal(C41)</f>
        <v>200</v>
      </c>
    </row>
    <row r="62" spans="1:3" x14ac:dyDescent="0.3">
      <c r="A62" s="63" t="s">
        <v>88</v>
      </c>
      <c r="B62" s="64" t="s">
        <v>314</v>
      </c>
      <c r="C62" s="65" t="s">
        <v>314</v>
      </c>
    </row>
    <row r="63" spans="1:3" x14ac:dyDescent="0.3">
      <c r="A63" s="23" t="s">
        <v>89</v>
      </c>
      <c r="B63" s="42" t="str">
        <f xml:space="preserve"> _xll.qlNonstandardSwapFixedSchedule(B41)</f>
        <v>欣[test_swap.xlsx]NonStandardSwap!R63C2Schedule,A</v>
      </c>
      <c r="C63" s="24" t="str">
        <f xml:space="preserve"> _xll.qlNonstandardSwapFixedSchedule(C41)</f>
        <v>欣[test_swap.xlsx]NonStandardSwap!R63C3Schedule,A</v>
      </c>
    </row>
    <row r="64" spans="1:3" x14ac:dyDescent="0.3">
      <c r="A64" s="63" t="s">
        <v>90</v>
      </c>
      <c r="B64" s="38">
        <f>_xll.qlNonstandardSwapFixedRate(B41)</f>
        <v>0.03</v>
      </c>
      <c r="C64" s="15">
        <f>_xll.qlNonstandardSwapFixedRate(C41)</f>
        <v>0.03</v>
      </c>
    </row>
    <row r="65" spans="1:3" x14ac:dyDescent="0.3">
      <c r="A65" s="63" t="s">
        <v>90</v>
      </c>
      <c r="B65" s="64" t="s">
        <v>315</v>
      </c>
      <c r="C65" s="65" t="s">
        <v>315</v>
      </c>
    </row>
    <row r="66" spans="1:3" x14ac:dyDescent="0.3">
      <c r="A66" s="23" t="s">
        <v>91</v>
      </c>
      <c r="B66" s="42" t="str">
        <f>_xll.qlNonstandardSwapFixedDayCount(B41)</f>
        <v>Actual/365 (Fixed)</v>
      </c>
      <c r="C66" s="24" t="str">
        <f>_xll.qlNonstandardSwapFixedDayCount(C41)</f>
        <v>Actual/365 (Fixed)</v>
      </c>
    </row>
    <row r="67" spans="1:3" x14ac:dyDescent="0.3">
      <c r="A67" s="28" t="s">
        <v>92</v>
      </c>
      <c r="B67" s="38" t="str">
        <f xml:space="preserve"> _xll.qlNonstandardSwapFloatingSchedule(B41)</f>
        <v>欣[test_swap.xlsx]NonStandardSwap!R67C2Schedule,A</v>
      </c>
      <c r="C67" s="15" t="str">
        <f xml:space="preserve"> _xll.qlNonstandardSwapFloatingSchedule(C41)</f>
        <v>欣[test_swap.xlsx]NonStandardSwap!R67C3Schedule,A</v>
      </c>
    </row>
    <row r="68" spans="1:3" x14ac:dyDescent="0.3">
      <c r="A68" s="23" t="s">
        <v>93</v>
      </c>
      <c r="B68" s="42" t="str">
        <f>_xll.qlNonstandardSwapIborIndex(B41)</f>
        <v>欣[test_swap.xlsx]NonStandardSwap!R68C2IborIndex,A</v>
      </c>
      <c r="C68" s="24" t="str">
        <f>_xll.qlNonstandardSwapIborIndex(C41)</f>
        <v>欣[test_swap.xlsx]NonStandardSwap!R68C3IborIndex,A</v>
      </c>
    </row>
    <row r="69" spans="1:3" x14ac:dyDescent="0.3">
      <c r="A69" s="28" t="s">
        <v>94</v>
      </c>
      <c r="B69" s="45">
        <f>FIND("RuntimeError: RuntimeError: spread is a vector, use spreads inspector instead",_xll.qlNonstandardSwapSpread(B41))</f>
        <v>1</v>
      </c>
      <c r="C69" s="27">
        <f>FIND("RuntimeError: RuntimeError: spread is a vector, use spreads inspector instead",_xll.qlNonstandardSwapSpread(C41))</f>
        <v>1</v>
      </c>
    </row>
    <row r="70" spans="1:3" x14ac:dyDescent="0.3">
      <c r="A70" s="23" t="s">
        <v>95</v>
      </c>
      <c r="B70" s="58">
        <f>FIND("RuntimeError: RuntimeError: gearing is a vector, use gearings inspector instead",_xll.qlNonstandardSwapGearing(B41))</f>
        <v>1</v>
      </c>
      <c r="C70" s="59">
        <f>FIND("RuntimeError: RuntimeError: gearing is a vector, use gearings inspector instead",_xll.qlNonstandardSwapGearing(C41))</f>
        <v>1</v>
      </c>
    </row>
    <row r="71" spans="1:3" x14ac:dyDescent="0.3">
      <c r="A71" s="63" t="s">
        <v>96</v>
      </c>
      <c r="B71" s="38">
        <f>_xll.qlNonstandardSwapSpreads(B41)</f>
        <v>1E-3</v>
      </c>
      <c r="C71" s="15">
        <f>_xll.qlNonstandardSwapSpreads(C41)</f>
        <v>1E-3</v>
      </c>
    </row>
    <row r="72" spans="1:3" x14ac:dyDescent="0.3">
      <c r="A72" s="63" t="s">
        <v>96</v>
      </c>
      <c r="B72" s="64" t="s">
        <v>316</v>
      </c>
      <c r="C72" s="65" t="s">
        <v>316</v>
      </c>
    </row>
    <row r="73" spans="1:3" x14ac:dyDescent="0.3">
      <c r="A73" s="54" t="s">
        <v>97</v>
      </c>
      <c r="B73" s="36">
        <f>_xll.qlNonstandardSwapGearings(B41)</f>
        <v>2.2204460492503131E-16</v>
      </c>
      <c r="C73" s="22">
        <f>_xll.qlNonstandardSwapGearings(C41)</f>
        <v>2.2204460492503131E-16</v>
      </c>
    </row>
    <row r="74" spans="1:3" x14ac:dyDescent="0.3">
      <c r="A74" s="55" t="s">
        <v>97</v>
      </c>
      <c r="B74" s="56" t="s">
        <v>317</v>
      </c>
      <c r="C74" s="57" t="s">
        <v>317</v>
      </c>
    </row>
    <row r="75" spans="1:3" x14ac:dyDescent="0.3">
      <c r="A75" s="28" t="s">
        <v>98</v>
      </c>
      <c r="B75" s="38" t="str">
        <f>_xll.qlNonstandardSwapFloatingDayCount(B41)</f>
        <v>Actual/360</v>
      </c>
      <c r="C75" s="15" t="str">
        <f>_xll.qlNonstandardSwapFloatingDayCount(C41)</f>
        <v>Actual/360</v>
      </c>
    </row>
    <row r="76" spans="1:3" s="6" customFormat="1" x14ac:dyDescent="0.3">
      <c r="A76" s="60" t="s">
        <v>99</v>
      </c>
      <c r="B76" s="61" t="str">
        <f>_xll.qlNonstandardSwapPaymentConvention(B41)</f>
        <v>FOLLOWING</v>
      </c>
      <c r="C76" s="62" t="str">
        <f>_xll.qlNonstandardSwapPaymentConvention(C41)</f>
        <v>UNADJUSTED</v>
      </c>
    </row>
    <row r="77" spans="1:3" x14ac:dyDescent="0.3">
      <c r="A77" s="28" t="s">
        <v>100</v>
      </c>
      <c r="B77" s="38" t="str">
        <f>_xll.qlNonstandardSwapFixedLeg(B41)</f>
        <v>欣[test_swap.xlsx]NonStandardSwap!R77C2CashFlow,A</v>
      </c>
      <c r="C77" s="15" t="str">
        <f>_xll.qlNonstandardSwapFixedLeg(C41)</f>
        <v>欣[test_swap.xlsx]NonStandardSwap!R77C3CashFlow,A</v>
      </c>
    </row>
    <row r="78" spans="1:3" x14ac:dyDescent="0.3">
      <c r="A78" s="23" t="s">
        <v>101</v>
      </c>
      <c r="B78" s="42" t="str">
        <f>_xll.qlNonstandardSwapFloatingLeg(B41)</f>
        <v>欣[test_swap.xlsx]NonStandardSwap!R78C2CashFlow,A</v>
      </c>
      <c r="C78" s="24" t="str">
        <f>_xll.qlNonstandardSwapFloatingLeg(C41)</f>
        <v>欣[test_swap.xlsx]NonStandardSwap!R78C3CashFlow,A</v>
      </c>
    </row>
    <row r="79" spans="1:3" x14ac:dyDescent="0.3">
      <c r="A79" s="23" t="s">
        <v>393</v>
      </c>
      <c r="B79" s="42" cm="1">
        <f t="array" ref="B79">_xll.qlNonstandardSwapPaymentLag(B41)</f>
        <v>0</v>
      </c>
      <c r="C79" s="24" cm="1">
        <f t="array" ref="C79">_xll.qlNonstandardSwapPaymentLag(C41)</f>
        <v>0</v>
      </c>
    </row>
    <row r="80" spans="1:3" x14ac:dyDescent="0.3">
      <c r="A80" s="23" t="s">
        <v>394</v>
      </c>
      <c r="B80" s="42"/>
      <c r="C80" s="24" t="str" cm="1">
        <f t="array" ref="C80">_xll.qlNonstandardSwapPaymentCalendar(C41)</f>
        <v>TARGET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23A1-24DE-4462-B270-0B74F72B1E9D}">
  <dimension ref="A1:C4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7.88671875" customWidth="1"/>
    <col min="2" max="2" width="59.33203125" style="4" customWidth="1"/>
    <col min="3" max="3" width="62.33203125" customWidth="1"/>
  </cols>
  <sheetData>
    <row r="1" spans="1:3" x14ac:dyDescent="0.3">
      <c r="A1" s="30" t="s">
        <v>13</v>
      </c>
      <c r="B1" s="13">
        <v>45665</v>
      </c>
    </row>
    <row r="2" spans="1:3" x14ac:dyDescent="0.3">
      <c r="A2" s="32" t="s">
        <v>14</v>
      </c>
      <c r="B2" s="35">
        <f>_xll.qlSettingsSetEvaluationDate(B1)</f>
        <v>45665</v>
      </c>
    </row>
    <row r="4" spans="1:3" x14ac:dyDescent="0.3">
      <c r="A4" s="30" t="s">
        <v>103</v>
      </c>
      <c r="B4" s="36" t="b">
        <v>1</v>
      </c>
      <c r="C4" s="22" t="b">
        <v>1</v>
      </c>
    </row>
    <row r="5" spans="1:3" x14ac:dyDescent="0.3">
      <c r="A5" s="12" t="s">
        <v>108</v>
      </c>
      <c r="B5" s="36">
        <v>2</v>
      </c>
      <c r="C5" s="22">
        <v>2</v>
      </c>
    </row>
    <row r="6" spans="1:3" x14ac:dyDescent="0.3">
      <c r="A6" s="14" t="s">
        <v>109</v>
      </c>
      <c r="B6" s="38" t="str">
        <f>_xll.qlCalendar("Target")</f>
        <v>TARGET</v>
      </c>
      <c r="C6" s="15" t="str">
        <f>_xll.qlCalendar("Target")</f>
        <v>TARGET</v>
      </c>
    </row>
    <row r="7" spans="1:3" x14ac:dyDescent="0.3">
      <c r="A7" s="14" t="s">
        <v>110</v>
      </c>
      <c r="B7" s="38">
        <v>100</v>
      </c>
      <c r="C7" s="15">
        <v>100</v>
      </c>
    </row>
    <row r="8" spans="1:3" x14ac:dyDescent="0.3">
      <c r="A8" s="14" t="s">
        <v>111</v>
      </c>
      <c r="B8" s="37">
        <v>49682</v>
      </c>
      <c r="C8" s="16">
        <v>49682</v>
      </c>
    </row>
    <row r="9" spans="1:3" x14ac:dyDescent="0.3">
      <c r="A9" s="32" t="s">
        <v>274</v>
      </c>
      <c r="B9" s="39" t="str">
        <f>_xll.qlZeroCouponBond(B5,B6,B7,B8)</f>
        <v>欣[test_swap.xlsx]AssetSwap!R9C2ZeroCouponBond,A</v>
      </c>
      <c r="C9" s="17" t="str">
        <f>_xll.qlZeroCouponBond(C5,C6,C7,C8)</f>
        <v>欣[test_swap.xlsx]AssetSwap!R9C3ZeroCouponBond,A</v>
      </c>
    </row>
    <row r="10" spans="1:3" x14ac:dyDescent="0.3">
      <c r="A10" s="31" t="s">
        <v>104</v>
      </c>
      <c r="B10" s="38">
        <v>100</v>
      </c>
      <c r="C10" s="15">
        <v>100</v>
      </c>
    </row>
    <row r="11" spans="1:3" x14ac:dyDescent="0.3">
      <c r="A11" s="12" t="s">
        <v>22</v>
      </c>
      <c r="B11" s="36" t="str">
        <f>_xll.qlFlatForward(B2,0.03,"actual365fixed")</f>
        <v>欣[test_swap.xlsx]AssetSwap!R11C2YieldTermStructureHandle,A</v>
      </c>
      <c r="C11" s="22" t="str">
        <f>_xll.qlFlatForward(B2,0.03,"actual365fixed")</f>
        <v>欣[test_swap.xlsx]AssetSwap!R11C3YieldTermStructureHandle,A</v>
      </c>
    </row>
    <row r="12" spans="1:3" x14ac:dyDescent="0.3">
      <c r="A12" s="32" t="s">
        <v>66</v>
      </c>
      <c r="B12" s="39" t="str">
        <f>_xll.qlEuribor("3M",B11,B2)</f>
        <v>欣[test_swap.xlsx]AssetSwap!R12C2Euribor,A</v>
      </c>
      <c r="C12" s="17" t="str">
        <f>_xll.qlEuribor("3M",C11,B2)</f>
        <v>欣[test_swap.xlsx]AssetSwap!R12C3Euribor,A</v>
      </c>
    </row>
    <row r="13" spans="1:3" x14ac:dyDescent="0.3">
      <c r="A13" s="31" t="s">
        <v>67</v>
      </c>
      <c r="B13" s="38">
        <v>3.0000000000000001E-3</v>
      </c>
      <c r="C13" s="15">
        <v>3.0000000000000001E-3</v>
      </c>
    </row>
    <row r="14" spans="1:3" x14ac:dyDescent="0.3">
      <c r="A14" s="12" t="s">
        <v>40</v>
      </c>
      <c r="B14" s="36"/>
      <c r="C14" s="22" t="s">
        <v>41</v>
      </c>
    </row>
    <row r="15" spans="1:3" x14ac:dyDescent="0.3">
      <c r="A15" s="14" t="s">
        <v>42</v>
      </c>
      <c r="B15" s="38"/>
      <c r="C15" s="16">
        <v>46030</v>
      </c>
    </row>
    <row r="16" spans="1:3" x14ac:dyDescent="0.3">
      <c r="A16" s="14" t="s">
        <v>43</v>
      </c>
      <c r="B16" s="38"/>
      <c r="C16" s="16">
        <v>49682</v>
      </c>
    </row>
    <row r="17" spans="1:3" x14ac:dyDescent="0.3">
      <c r="A17" s="14" t="s">
        <v>44</v>
      </c>
      <c r="B17" s="38"/>
      <c r="C17" s="15" t="s">
        <v>74</v>
      </c>
    </row>
    <row r="18" spans="1:3" x14ac:dyDescent="0.3">
      <c r="A18" s="14" t="s">
        <v>46</v>
      </c>
      <c r="B18" s="38"/>
      <c r="C18" s="15" t="s">
        <v>47</v>
      </c>
    </row>
    <row r="19" spans="1:3" x14ac:dyDescent="0.3">
      <c r="A19" s="32" t="s">
        <v>65</v>
      </c>
      <c r="B19" s="39"/>
      <c r="C19" s="17" t="str">
        <f>_xll.qlMakeSchedule(C15,C16,C17,,C14,C18)</f>
        <v>欣[test_swap.xlsx]AssetSwap!R19C3Schedule,A</v>
      </c>
    </row>
    <row r="20" spans="1:3" x14ac:dyDescent="0.3">
      <c r="A20" s="31" t="s">
        <v>68</v>
      </c>
      <c r="B20" s="38"/>
      <c r="C20" s="15" t="s">
        <v>72</v>
      </c>
    </row>
    <row r="21" spans="1:3" x14ac:dyDescent="0.3">
      <c r="A21" s="31" t="s">
        <v>105</v>
      </c>
      <c r="B21" s="38"/>
      <c r="C21" s="15" t="b">
        <v>0</v>
      </c>
    </row>
    <row r="22" spans="1:3" x14ac:dyDescent="0.3">
      <c r="A22" s="31" t="s">
        <v>78</v>
      </c>
      <c r="B22" s="38"/>
      <c r="C22" s="15">
        <v>2</v>
      </c>
    </row>
    <row r="23" spans="1:3" x14ac:dyDescent="0.3">
      <c r="A23" s="31" t="s">
        <v>106</v>
      </c>
      <c r="B23" s="38"/>
      <c r="C23" s="15">
        <v>1</v>
      </c>
    </row>
    <row r="24" spans="1:3" x14ac:dyDescent="0.3">
      <c r="A24" s="31" t="s">
        <v>107</v>
      </c>
      <c r="B24" s="38"/>
      <c r="C24" s="16">
        <v>47126</v>
      </c>
    </row>
    <row r="25" spans="1:3" x14ac:dyDescent="0.3">
      <c r="A25" s="18" t="s">
        <v>112</v>
      </c>
      <c r="B25" s="39" t="str">
        <f>_xll.qlAssetSwap(B4,B9,B10,B12,B13)</f>
        <v>欣[test_swap.xlsx]AssetSwap!R25C2AssetSwap,A</v>
      </c>
      <c r="C25" s="17" t="str">
        <f>_xll.qlAssetSwap(C4,C9,C10,C12,C13,C19,C20,C21,C22,C23,C24)</f>
        <v>欣[test_swap.xlsx]AssetSwap!R25C3AssetSwap,A</v>
      </c>
    </row>
    <row r="26" spans="1:3" x14ac:dyDescent="0.3">
      <c r="A26" s="12" t="s">
        <v>22</v>
      </c>
      <c r="B26" s="36" t="str">
        <f>_xll.qlFlatForward(B2,0.03,"actual365fixed")</f>
        <v>欣[test_swap.xlsx]AssetSwap!R26C2YieldTermStructureHandle,A</v>
      </c>
      <c r="C26" s="22" t="str">
        <f>_xll.qlFlatForward(B2,0.03,"actual365fixed")</f>
        <v>欣[test_swap.xlsx]AssetSwap!R26C3YieldTermStructureHandle,A</v>
      </c>
    </row>
    <row r="27" spans="1:3" x14ac:dyDescent="0.3">
      <c r="A27" s="14" t="s">
        <v>23</v>
      </c>
      <c r="B27" s="38" t="b">
        <v>0</v>
      </c>
      <c r="C27" s="15" t="b">
        <v>0</v>
      </c>
    </row>
    <row r="28" spans="1:3" x14ac:dyDescent="0.3">
      <c r="A28" s="14" t="s">
        <v>24</v>
      </c>
      <c r="B28" s="37">
        <v>45665</v>
      </c>
      <c r="C28" s="16">
        <v>45665</v>
      </c>
    </row>
    <row r="29" spans="1:3" x14ac:dyDescent="0.3">
      <c r="A29" s="14" t="s">
        <v>25</v>
      </c>
      <c r="B29" s="38"/>
      <c r="C29" s="15"/>
    </row>
    <row r="30" spans="1:3" x14ac:dyDescent="0.3">
      <c r="A30" s="18" t="s">
        <v>21</v>
      </c>
      <c r="B30" s="39" t="str">
        <f>_xll.qlDiscountingSwapEngine(B26,B27)</f>
        <v>Error in arg 1 'discount_curve': Cannot convert '欣[test_swap.xlsx]AssetSwap!R26C2YieldTermStructureHandle,A': Expected cache string</v>
      </c>
      <c r="C30" s="17" t="str">
        <f>_xll.qlDiscountingSwapEngine(C26,C27)</f>
        <v>Error in arg 1 'discount_curve': Cannot convert '欣[test_swap.xlsx]AssetSwap!R26C3YieldTermStructureHandle,A': Expected cache string</v>
      </c>
    </row>
    <row r="31" spans="1:3" x14ac:dyDescent="0.3">
      <c r="A31" s="26" t="s">
        <v>296</v>
      </c>
      <c r="B31" s="45" t="str">
        <f>_xll.qlInstrumentSetPricingEngine(B25,B30)</f>
        <v>Error in arg 1 'instrument': Cannot convert '欣[test_swap.xlsx]AssetSwap!R25C2AssetSwap,A': Expected cache string</v>
      </c>
      <c r="C31" s="15" t="str">
        <f>_xll.qlInstrumentSetPricingEngine(C25,C30)</f>
        <v>Error in arg 1 'instrument': Cannot convert '欣[test_swap.xlsx]AssetSwap!R25C3AssetSwap,A': Expected cache string</v>
      </c>
    </row>
    <row r="32" spans="1:3" x14ac:dyDescent="0.3">
      <c r="A32" s="23" t="s">
        <v>17</v>
      </c>
      <c r="B32" s="42">
        <f>_xll.qlSwapNumberOfLegs(B25)</f>
        <v>2</v>
      </c>
      <c r="C32" s="24">
        <f>_xll.qlSwapNumberOfLegs(C25)</f>
        <v>2</v>
      </c>
    </row>
    <row r="33" spans="1:3" x14ac:dyDescent="0.3">
      <c r="A33" s="28" t="s">
        <v>18</v>
      </c>
      <c r="B33" s="37">
        <f>_xll.qlSwapStartDate(B25)</f>
        <v>45667</v>
      </c>
      <c r="C33" s="16">
        <f>_xll.qlSwapStartDate(C25)</f>
        <v>46030</v>
      </c>
    </row>
    <row r="34" spans="1:3" x14ac:dyDescent="0.3">
      <c r="A34" s="23" t="s">
        <v>19</v>
      </c>
      <c r="B34" s="43">
        <f>_xll.qlSwapMaturityDate(B25)</f>
        <v>49682</v>
      </c>
      <c r="C34" s="25">
        <f>_xll.qlSwapMaturityDate(C25)</f>
        <v>47126</v>
      </c>
    </row>
    <row r="35" spans="1:3" x14ac:dyDescent="0.3">
      <c r="A35" s="28" t="s">
        <v>219</v>
      </c>
      <c r="B35" s="38" t="str">
        <f>_xll.qlSwapLeg(B25,1)</f>
        <v>欣[test_swap.xlsx]AssetSwap!R35C2CashFlow,A</v>
      </c>
      <c r="C35" s="15" t="str">
        <f>_xll.qlSwapLeg(C25,1)</f>
        <v>欣[test_swap.xlsx]AssetSwap!R35C3CashFlow,A</v>
      </c>
    </row>
    <row r="36" spans="1:3" x14ac:dyDescent="0.3">
      <c r="A36" s="23" t="s">
        <v>220</v>
      </c>
      <c r="B36" s="42" t="str">
        <f>_xll.qlSwapLegNPV(B25,1,B31)</f>
        <v>Error in arg 1 'swap': Cannot convert '欣[test_swap.xlsx]AssetSwap!R25C2AssetSwap,A': Expected cache string</v>
      </c>
      <c r="C36" s="24" t="str">
        <f>_xll.qlSwapLegNPV(C25,1,C31)</f>
        <v>Error in arg 1 'swap': Cannot convert '欣[test_swap.xlsx]AssetSwap!R25C3AssetSwap,A': Expected cache string</v>
      </c>
    </row>
    <row r="37" spans="1:3" x14ac:dyDescent="0.3">
      <c r="A37" s="28" t="s">
        <v>221</v>
      </c>
      <c r="B37" s="38" t="str">
        <f>_xll.qlSwapLegBPS(B25,1,B31)</f>
        <v>Error in arg 1 'swap': Cannot convert '欣[test_swap.xlsx]AssetSwap!R25C2AssetSwap,A': Expected cache string</v>
      </c>
      <c r="C37" s="15" t="str">
        <f>_xll.qlSwapLegBPS(C25,1,C31)</f>
        <v>Error in arg 1 'swap': Cannot convert '欣[test_swap.xlsx]AssetSwap!R25C3AssetSwap,A': Expected cache string</v>
      </c>
    </row>
    <row r="38" spans="1:3" x14ac:dyDescent="0.3">
      <c r="A38" s="23" t="s">
        <v>222</v>
      </c>
      <c r="B38" s="42" t="str">
        <f>_xll.qlSwapStartDiscounts(B25,1,B31)</f>
        <v>Error in arg 1 'swap': Cannot convert '欣[test_swap.xlsx]AssetSwap!R25C2AssetSwap,A': Expected cache string</v>
      </c>
      <c r="C38" s="24" t="str">
        <f>_xll.qlSwapStartDiscounts(C25,1,C31)</f>
        <v>Error in arg 1 'swap': Cannot convert '欣[test_swap.xlsx]AssetSwap!R25C3AssetSwap,A': Expected cache string</v>
      </c>
    </row>
    <row r="39" spans="1:3" x14ac:dyDescent="0.3">
      <c r="A39" s="28" t="s">
        <v>223</v>
      </c>
      <c r="B39" s="38" t="str">
        <f>_xll.qlSwapEndDiscounts(B25,1,B31)</f>
        <v>Error in arg 1 'swap': Cannot convert '欣[test_swap.xlsx]AssetSwap!R25C2AssetSwap,A': Expected cache string</v>
      </c>
      <c r="C39" s="15" t="str">
        <f>_xll.qlSwapEndDiscounts(C25,1,C31)</f>
        <v>Error in arg 1 'swap': Cannot convert '欣[test_swap.xlsx]AssetSwap!R25C3AssetSwap,A': Expected cache string</v>
      </c>
    </row>
    <row r="40" spans="1:3" x14ac:dyDescent="0.3">
      <c r="A40" s="23" t="s">
        <v>20</v>
      </c>
      <c r="B40" s="42" t="str">
        <f>_xll.qlSwapNpvDateDiscount(B25,B31)</f>
        <v>Error in arg 1 'swap': Cannot convert '欣[test_swap.xlsx]AssetSwap!R25C2AssetSwap,A': Expected cache string</v>
      </c>
      <c r="C40" s="24" t="str">
        <f>_xll.qlSwapNpvDateDiscount(C25,C31)</f>
        <v>Error in arg 1 'swap': Cannot convert '欣[test_swap.xlsx]AssetSwap!R25C3AssetSwap,A': Expected cache string</v>
      </c>
    </row>
    <row r="41" spans="1:3" x14ac:dyDescent="0.3">
      <c r="A41" s="46" t="s">
        <v>218</v>
      </c>
      <c r="B41" s="38" t="b">
        <f>_xll.qlSwapPayer(B25,0)</f>
        <v>1</v>
      </c>
      <c r="C41" s="15" t="b">
        <f>_xll.qlSwapPayer(C25,0)</f>
        <v>1</v>
      </c>
    </row>
    <row r="42" spans="1:3" x14ac:dyDescent="0.3">
      <c r="A42" s="23" t="s">
        <v>113</v>
      </c>
      <c r="B42" s="42" t="str">
        <f>_xll.qlAssetSwapFairCleanPrice(B25,B31)</f>
        <v>Error in arg 1 'swap': Cannot convert '欣[test_swap.xlsx]AssetSwap!R25C2AssetSwap,A': Expected cache string</v>
      </c>
      <c r="C42" s="24" t="str">
        <f>_xll.qlAssetSwapFairCleanPrice(C25,C31)</f>
        <v>Error in arg 1 'swap': Cannot convert '欣[test_swap.xlsx]AssetSwap!R25C3AssetSwap,A': Expected cache string</v>
      </c>
    </row>
    <row r="43" spans="1:3" x14ac:dyDescent="0.3">
      <c r="A43" s="18" t="s">
        <v>114</v>
      </c>
      <c r="B43" s="39" t="str">
        <f>_xll.qlAssetSwapFairSpread(B25,B31)</f>
        <v>Error in arg 1 'swap': Cannot convert '欣[test_swap.xlsx]AssetSwap!R25C2AssetSwap,A': Expected cache string</v>
      </c>
      <c r="C43" s="17" t="str">
        <f>_xll.qlAssetSwapFairSpread(C25,C31)</f>
        <v>Error in arg 1 'swap': Cannot convert '欣[test_swap.xlsx]AssetSwap!R25C3AssetSwap,A': Expected cache string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BF3C-0473-4947-B0FF-5EBBF84ABBDB}">
  <dimension ref="A1:C7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7.88671875" customWidth="1"/>
    <col min="2" max="2" width="63.109375" style="4" customWidth="1"/>
    <col min="3" max="3" width="65.33203125" style="4" customWidth="1"/>
  </cols>
  <sheetData>
    <row r="1" spans="1:3" x14ac:dyDescent="0.3">
      <c r="A1" s="30" t="s">
        <v>13</v>
      </c>
      <c r="B1" s="13">
        <v>45665</v>
      </c>
    </row>
    <row r="2" spans="1:3" x14ac:dyDescent="0.3">
      <c r="A2" s="32" t="s">
        <v>14</v>
      </c>
      <c r="B2" s="35">
        <f>_xll.qlSettingsSetEvaluationDate(B1)</f>
        <v>45665</v>
      </c>
    </row>
    <row r="4" spans="1:3" x14ac:dyDescent="0.3">
      <c r="A4" s="69" t="s">
        <v>60</v>
      </c>
      <c r="B4" s="36">
        <v>1</v>
      </c>
      <c r="C4" s="22" t="s">
        <v>58</v>
      </c>
    </row>
    <row r="5" spans="1:3" x14ac:dyDescent="0.3">
      <c r="A5" s="53" t="s">
        <v>115</v>
      </c>
      <c r="B5" s="36">
        <v>200</v>
      </c>
      <c r="C5" s="22">
        <v>200</v>
      </c>
    </row>
    <row r="6" spans="1:3" x14ac:dyDescent="0.3">
      <c r="A6" s="20" t="s">
        <v>115</v>
      </c>
      <c r="B6" s="38">
        <v>150</v>
      </c>
      <c r="C6" s="15">
        <v>150</v>
      </c>
    </row>
    <row r="7" spans="1:3" x14ac:dyDescent="0.3">
      <c r="A7" s="21" t="s">
        <v>115</v>
      </c>
      <c r="B7" s="39">
        <v>100</v>
      </c>
      <c r="C7" s="17">
        <v>100</v>
      </c>
    </row>
    <row r="8" spans="1:3" x14ac:dyDescent="0.3">
      <c r="A8" s="20" t="s">
        <v>116</v>
      </c>
      <c r="B8" s="38">
        <v>200</v>
      </c>
      <c r="C8" s="15">
        <v>200</v>
      </c>
    </row>
    <row r="9" spans="1:3" x14ac:dyDescent="0.3">
      <c r="A9" s="20" t="s">
        <v>116</v>
      </c>
      <c r="B9" s="38">
        <v>150</v>
      </c>
      <c r="C9" s="15">
        <v>150</v>
      </c>
    </row>
    <row r="10" spans="1:3" x14ac:dyDescent="0.3">
      <c r="A10" s="20" t="s">
        <v>116</v>
      </c>
      <c r="B10" s="38">
        <v>100</v>
      </c>
      <c r="C10" s="15">
        <v>100</v>
      </c>
    </row>
    <row r="11" spans="1:3" x14ac:dyDescent="0.3">
      <c r="A11" s="12" t="s">
        <v>40</v>
      </c>
      <c r="B11" s="36" t="s">
        <v>41</v>
      </c>
      <c r="C11" s="22" t="s">
        <v>41</v>
      </c>
    </row>
    <row r="12" spans="1:3" x14ac:dyDescent="0.3">
      <c r="A12" s="14" t="s">
        <v>42</v>
      </c>
      <c r="B12" s="37">
        <v>46030</v>
      </c>
      <c r="C12" s="16">
        <v>46030</v>
      </c>
    </row>
    <row r="13" spans="1:3" x14ac:dyDescent="0.3">
      <c r="A13" s="14" t="s">
        <v>43</v>
      </c>
      <c r="B13" s="37">
        <v>47126</v>
      </c>
      <c r="C13" s="16">
        <v>47126</v>
      </c>
    </row>
    <row r="14" spans="1:3" x14ac:dyDescent="0.3">
      <c r="A14" s="14" t="s">
        <v>44</v>
      </c>
      <c r="B14" s="38" t="s">
        <v>74</v>
      </c>
      <c r="C14" s="15" t="s">
        <v>74</v>
      </c>
    </row>
    <row r="15" spans="1:3" x14ac:dyDescent="0.3">
      <c r="A15" s="14" t="s">
        <v>46</v>
      </c>
      <c r="B15" s="38" t="s">
        <v>47</v>
      </c>
      <c r="C15" s="15" t="s">
        <v>47</v>
      </c>
    </row>
    <row r="16" spans="1:3" x14ac:dyDescent="0.3">
      <c r="A16" s="32" t="s">
        <v>117</v>
      </c>
      <c r="B16" s="39" t="str">
        <f>_xll.qlMakeSchedule(B12,B13,B14,,B11,B15)</f>
        <v>欣[test_swap.xlsx]FloatFloatSwap!R16C2Schedule,A</v>
      </c>
      <c r="C16" s="17" t="str">
        <f>_xll.qlMakeSchedule(C12,C13,C14,,C11,C15)</f>
        <v>欣[test_swap.xlsx]FloatFloatSwap!R16C3Schedule,A</v>
      </c>
    </row>
    <row r="17" spans="1:3" x14ac:dyDescent="0.3">
      <c r="A17" s="12" t="s">
        <v>22</v>
      </c>
      <c r="B17" s="36" t="str">
        <f>_xll.qlFlatForward(B2,0.03,"actual365fixed")</f>
        <v>欣[test_swap.xlsx]FloatFloatSwap!R17C2YieldTermStructureHandle,A</v>
      </c>
      <c r="C17" s="22" t="str">
        <f>_xll.qlFlatForward(B2,0.03,"actual365fixed")</f>
        <v>欣[test_swap.xlsx]FloatFloatSwap!R17C3YieldTermStructureHandle,A</v>
      </c>
    </row>
    <row r="18" spans="1:3" x14ac:dyDescent="0.3">
      <c r="A18" s="32" t="s">
        <v>118</v>
      </c>
      <c r="B18" s="39" t="str">
        <f>_xll.qlEuribor("12M",B17,B2)</f>
        <v>欣[test_swap.xlsx]FloatFloatSwap!R18C2Euribor,A</v>
      </c>
      <c r="C18" s="17" t="str">
        <f>_xll.qlEuribor("12M",C17,B2)</f>
        <v>欣[test_swap.xlsx]FloatFloatSwap!R18C3Euribor,A</v>
      </c>
    </row>
    <row r="19" spans="1:3" x14ac:dyDescent="0.3">
      <c r="A19" s="31" t="s">
        <v>119</v>
      </c>
      <c r="B19" s="38" t="s">
        <v>84</v>
      </c>
      <c r="C19" s="15" t="s">
        <v>84</v>
      </c>
    </row>
    <row r="20" spans="1:3" x14ac:dyDescent="0.3">
      <c r="A20" s="12" t="s">
        <v>40</v>
      </c>
      <c r="B20" s="36" t="s">
        <v>41</v>
      </c>
      <c r="C20" s="22" t="s">
        <v>41</v>
      </c>
    </row>
    <row r="21" spans="1:3" x14ac:dyDescent="0.3">
      <c r="A21" s="14" t="s">
        <v>42</v>
      </c>
      <c r="B21" s="37">
        <v>46030</v>
      </c>
      <c r="C21" s="16">
        <v>46030</v>
      </c>
    </row>
    <row r="22" spans="1:3" x14ac:dyDescent="0.3">
      <c r="A22" s="14" t="s">
        <v>43</v>
      </c>
      <c r="B22" s="37">
        <v>47126</v>
      </c>
      <c r="C22" s="16">
        <v>47126</v>
      </c>
    </row>
    <row r="23" spans="1:3" x14ac:dyDescent="0.3">
      <c r="A23" s="14" t="s">
        <v>44</v>
      </c>
      <c r="B23" s="38" t="s">
        <v>74</v>
      </c>
      <c r="C23" s="15" t="s">
        <v>74</v>
      </c>
    </row>
    <row r="24" spans="1:3" x14ac:dyDescent="0.3">
      <c r="A24" s="14" t="s">
        <v>46</v>
      </c>
      <c r="B24" s="38" t="s">
        <v>47</v>
      </c>
      <c r="C24" s="15" t="s">
        <v>47</v>
      </c>
    </row>
    <row r="25" spans="1:3" x14ac:dyDescent="0.3">
      <c r="A25" s="32" t="s">
        <v>120</v>
      </c>
      <c r="B25" s="39" t="str">
        <f>_xll.qlMakeSchedule(B21,B22,B23,,B20,B24)</f>
        <v>欣[test_swap.xlsx]FloatFloatSwap!R25C2Schedule,A</v>
      </c>
      <c r="C25" s="17" t="str">
        <f>_xll.qlMakeSchedule(C21,C22,C23,,C20,C24)</f>
        <v>欣[test_swap.xlsx]FloatFloatSwap!R25C3Schedule,A</v>
      </c>
    </row>
    <row r="26" spans="1:3" x14ac:dyDescent="0.3">
      <c r="A26" s="12" t="s">
        <v>22</v>
      </c>
      <c r="B26" s="36" t="str">
        <f>_xll.qlFlatForward(B2,0.03,"actual365fixed")</f>
        <v>欣[test_swap.xlsx]FloatFloatSwap!R26C2YieldTermStructureHandle,A</v>
      </c>
      <c r="C26" s="22" t="str">
        <f>_xll.qlFlatForward(B2,0.03,"actual365fixed")</f>
        <v>欣[test_swap.xlsx]FloatFloatSwap!R26C3YieldTermStructureHandle,A</v>
      </c>
    </row>
    <row r="27" spans="1:3" x14ac:dyDescent="0.3">
      <c r="A27" s="32" t="s">
        <v>121</v>
      </c>
      <c r="B27" s="39" t="str">
        <f>_xll.qlEuribor("12M",B26,B2)</f>
        <v>欣[test_swap.xlsx]FloatFloatSwap!R27C2Euribor,A</v>
      </c>
      <c r="C27" s="17" t="str">
        <f>_xll.qlEuribor("12M",C26,B2)</f>
        <v>欣[test_swap.xlsx]FloatFloatSwap!R27C3Euribor,A</v>
      </c>
    </row>
    <row r="28" spans="1:3" x14ac:dyDescent="0.3">
      <c r="A28" s="31" t="s">
        <v>122</v>
      </c>
      <c r="B28" s="38" t="s">
        <v>84</v>
      </c>
      <c r="C28" s="15" t="s">
        <v>84</v>
      </c>
    </row>
    <row r="29" spans="1:3" x14ac:dyDescent="0.3">
      <c r="A29" s="31" t="s">
        <v>80</v>
      </c>
      <c r="B29" s="38"/>
      <c r="C29" s="15" t="b">
        <v>0</v>
      </c>
    </row>
    <row r="30" spans="1:3" x14ac:dyDescent="0.3">
      <c r="A30" s="31" t="s">
        <v>81</v>
      </c>
      <c r="B30" s="38"/>
      <c r="C30" s="15" t="b">
        <v>0</v>
      </c>
    </row>
    <row r="31" spans="1:3" x14ac:dyDescent="0.3">
      <c r="A31" s="53" t="s">
        <v>123</v>
      </c>
      <c r="B31" s="36"/>
      <c r="C31" s="22">
        <v>1</v>
      </c>
    </row>
    <row r="32" spans="1:3" x14ac:dyDescent="0.3">
      <c r="A32" s="20" t="s">
        <v>123</v>
      </c>
      <c r="B32" s="38"/>
      <c r="C32" s="15">
        <v>1</v>
      </c>
    </row>
    <row r="33" spans="1:3" x14ac:dyDescent="0.3">
      <c r="A33" s="21" t="s">
        <v>123</v>
      </c>
      <c r="B33" s="39"/>
      <c r="C33" s="17">
        <v>1</v>
      </c>
    </row>
    <row r="34" spans="1:3" x14ac:dyDescent="0.3">
      <c r="A34" s="20" t="s">
        <v>124</v>
      </c>
      <c r="B34" s="38"/>
      <c r="C34" s="15">
        <v>3.0000000000000001E-3</v>
      </c>
    </row>
    <row r="35" spans="1:3" x14ac:dyDescent="0.3">
      <c r="A35" s="20" t="s">
        <v>124</v>
      </c>
      <c r="B35" s="38"/>
      <c r="C35" s="15">
        <v>3.0000000000000001E-3</v>
      </c>
    </row>
    <row r="36" spans="1:3" x14ac:dyDescent="0.3">
      <c r="A36" s="20" t="s">
        <v>124</v>
      </c>
      <c r="B36" s="38"/>
      <c r="C36" s="15">
        <v>3.0000000000000001E-3</v>
      </c>
    </row>
    <row r="37" spans="1:3" x14ac:dyDescent="0.3">
      <c r="A37" s="66" t="s">
        <v>125</v>
      </c>
      <c r="B37" s="36"/>
      <c r="C37" s="22"/>
    </row>
    <row r="38" spans="1:3" x14ac:dyDescent="0.3">
      <c r="A38" s="67" t="s">
        <v>125</v>
      </c>
      <c r="B38" s="38"/>
      <c r="C38" s="15"/>
    </row>
    <row r="39" spans="1:3" x14ac:dyDescent="0.3">
      <c r="A39" s="68" t="s">
        <v>125</v>
      </c>
      <c r="B39" s="39"/>
      <c r="C39" s="17"/>
    </row>
    <row r="40" spans="1:3" x14ac:dyDescent="0.3">
      <c r="A40" s="67" t="s">
        <v>126</v>
      </c>
      <c r="B40" s="38"/>
      <c r="C40" s="15"/>
    </row>
    <row r="41" spans="1:3" x14ac:dyDescent="0.3">
      <c r="A41" s="67" t="s">
        <v>126</v>
      </c>
      <c r="B41" s="38"/>
      <c r="C41" s="15"/>
    </row>
    <row r="42" spans="1:3" x14ac:dyDescent="0.3">
      <c r="A42" s="67" t="s">
        <v>126</v>
      </c>
      <c r="B42" s="38"/>
      <c r="C42" s="15"/>
    </row>
    <row r="43" spans="1:3" x14ac:dyDescent="0.3">
      <c r="A43" s="53" t="s">
        <v>127</v>
      </c>
      <c r="B43" s="36"/>
      <c r="C43" s="22">
        <v>1</v>
      </c>
    </row>
    <row r="44" spans="1:3" x14ac:dyDescent="0.3">
      <c r="A44" s="20" t="s">
        <v>127</v>
      </c>
      <c r="B44" s="38"/>
      <c r="C44" s="15">
        <v>1</v>
      </c>
    </row>
    <row r="45" spans="1:3" x14ac:dyDescent="0.3">
      <c r="A45" s="21" t="s">
        <v>127</v>
      </c>
      <c r="B45" s="39"/>
      <c r="C45" s="17">
        <v>1</v>
      </c>
    </row>
    <row r="46" spans="1:3" x14ac:dyDescent="0.3">
      <c r="A46" s="20" t="s">
        <v>128</v>
      </c>
      <c r="B46" s="38"/>
      <c r="C46" s="15">
        <v>3.0000000000000001E-3</v>
      </c>
    </row>
    <row r="47" spans="1:3" x14ac:dyDescent="0.3">
      <c r="A47" s="20" t="s">
        <v>128</v>
      </c>
      <c r="B47" s="38"/>
      <c r="C47" s="15">
        <v>3.0000000000000001E-3</v>
      </c>
    </row>
    <row r="48" spans="1:3" x14ac:dyDescent="0.3">
      <c r="A48" s="20" t="s">
        <v>128</v>
      </c>
      <c r="B48" s="38"/>
      <c r="C48" s="15">
        <v>3.0000000000000001E-3</v>
      </c>
    </row>
    <row r="49" spans="1:3" x14ac:dyDescent="0.3">
      <c r="A49" s="66" t="s">
        <v>129</v>
      </c>
      <c r="B49" s="36"/>
      <c r="C49" s="22"/>
    </row>
    <row r="50" spans="1:3" x14ac:dyDescent="0.3">
      <c r="A50" s="67" t="s">
        <v>129</v>
      </c>
      <c r="B50" s="38"/>
      <c r="C50" s="15"/>
    </row>
    <row r="51" spans="1:3" x14ac:dyDescent="0.3">
      <c r="A51" s="68" t="s">
        <v>129</v>
      </c>
      <c r="B51" s="39"/>
      <c r="C51" s="17"/>
    </row>
    <row r="52" spans="1:3" x14ac:dyDescent="0.3">
      <c r="A52" s="67" t="s">
        <v>130</v>
      </c>
      <c r="B52" s="38"/>
      <c r="C52" s="15"/>
    </row>
    <row r="53" spans="1:3" x14ac:dyDescent="0.3">
      <c r="A53" s="67" t="s">
        <v>130</v>
      </c>
      <c r="B53" s="38"/>
      <c r="C53" s="15"/>
    </row>
    <row r="54" spans="1:3" x14ac:dyDescent="0.3">
      <c r="A54" s="67" t="s">
        <v>130</v>
      </c>
      <c r="B54" s="38"/>
      <c r="C54" s="15"/>
    </row>
    <row r="55" spans="1:3" x14ac:dyDescent="0.3">
      <c r="A55" s="31" t="s">
        <v>131</v>
      </c>
      <c r="B55" s="38"/>
      <c r="C55" s="15" t="s">
        <v>82</v>
      </c>
    </row>
    <row r="56" spans="1:3" x14ac:dyDescent="0.3">
      <c r="A56" s="31" t="s">
        <v>132</v>
      </c>
      <c r="B56" s="38"/>
      <c r="C56" s="15" t="s">
        <v>82</v>
      </c>
    </row>
    <row r="57" spans="1:3" x14ac:dyDescent="0.3">
      <c r="A57" s="18" t="s">
        <v>134</v>
      </c>
      <c r="B57" s="39" t="str">
        <f>_xll.qlFloatFloatSwap(B4,B5:B7,B8:B10,B16,B18,B19,B25,B27,B28)</f>
        <v>欣[test_swap.xlsx]FloatFloatSwap!R57C2FloatFloatSwap,A</v>
      </c>
      <c r="C57" s="17" t="str">
        <f>_xll.qlFloatFloatSwap(C4,C5:C7,C8:C10,C16,C18,C19,C25,C27,C28,C29,C30,C31:C33,C34:C36,,,C43:C45,C46:C48,,,C55,C56)</f>
        <v>欣[test_swap.xlsx]FloatFloatSwap!R57C3FloatFloatSwap,A</v>
      </c>
    </row>
    <row r="58" spans="1:3" x14ac:dyDescent="0.3">
      <c r="A58" s="14" t="s">
        <v>22</v>
      </c>
      <c r="B58" s="38" t="str">
        <f>_xll.qlFlatForward(B2,0.03,"actual365fixed")</f>
        <v>欣[test_swap.xlsx]FloatFloatSwap!R58C2YieldTermStructureHandle,A</v>
      </c>
      <c r="C58" s="15" t="str">
        <f>_xll.qlFlatForward(B2,0.03,"actual365fixed")</f>
        <v>欣[test_swap.xlsx]FloatFloatSwap!R58C3YieldTermStructureHandle,A</v>
      </c>
    </row>
    <row r="59" spans="1:3" x14ac:dyDescent="0.3">
      <c r="A59" s="28" t="s">
        <v>21</v>
      </c>
      <c r="B59" s="38" t="str">
        <f>_xll.qlDiscountingSwapEngine(B58,FALSE)</f>
        <v>Error in arg 1 'discount_curve': Cannot convert '欣[test_swap.xlsx]FloatFloatSwap!R58C2YieldTermStructureHandle,A': Expected cache string</v>
      </c>
      <c r="C59" s="15" t="str">
        <f>_xll.qlDiscountingSwapEngine(C58,FALSE)</f>
        <v>Error in arg 1 'discount_curve': Cannot convert '欣[test_swap.xlsx]FloatFloatSwap!R58C3YieldTermStructureHandle,A': Expected cache string</v>
      </c>
    </row>
    <row r="60" spans="1:3" x14ac:dyDescent="0.3">
      <c r="A60" s="47" t="s">
        <v>296</v>
      </c>
      <c r="B60" s="58" t="str">
        <f>_xll.qlInstrumentSetPricingEngine(B57,B59)</f>
        <v>Error in arg 1 'instrument': Cannot convert '欣[test_swap.xlsx]FloatFloatSwap!R57C2FloatFloatSwap,A': Expected cache string</v>
      </c>
      <c r="C60" s="24" t="str">
        <f>_xll.qlInstrumentSetPricingEngine(C57,C59)</f>
        <v>Error in arg 1 'instrument': Cannot convert '欣[test_swap.xlsx]FloatFloatSwap!R57C3FloatFloatSwap,A': Expected cache string</v>
      </c>
    </row>
    <row r="61" spans="1:3" x14ac:dyDescent="0.3">
      <c r="A61" s="28" t="s">
        <v>17</v>
      </c>
      <c r="B61" s="38">
        <f>_xll.qlSwapNumberOfLegs(B57)</f>
        <v>2</v>
      </c>
      <c r="C61" s="15">
        <f>_xll.qlSwapNumberOfLegs(C57)</f>
        <v>2</v>
      </c>
    </row>
    <row r="62" spans="1:3" x14ac:dyDescent="0.3">
      <c r="A62" s="23" t="s">
        <v>18</v>
      </c>
      <c r="B62" s="43">
        <f>_xll.qlSwapStartDate(B57)</f>
        <v>46030</v>
      </c>
      <c r="C62" s="25">
        <f>_xll.qlSwapStartDate(C57)</f>
        <v>46030</v>
      </c>
    </row>
    <row r="63" spans="1:3" x14ac:dyDescent="0.3">
      <c r="A63" s="28" t="s">
        <v>19</v>
      </c>
      <c r="B63" s="37">
        <f>_xll.qlSwapMaturityDate(B57)</f>
        <v>47126</v>
      </c>
      <c r="C63" s="16">
        <f>_xll.qlSwapMaturityDate(C57)</f>
        <v>47126</v>
      </c>
    </row>
    <row r="64" spans="1:3" x14ac:dyDescent="0.3">
      <c r="A64" s="23" t="s">
        <v>219</v>
      </c>
      <c r="B64" s="42" t="str">
        <f>_xll.qlSwapLeg(B57,1)</f>
        <v>欣[test_swap.xlsx]FloatFloatSwap!R64C2CashFlow,A</v>
      </c>
      <c r="C64" s="24" t="str">
        <f>_xll.qlSwapLeg(C57,1)</f>
        <v>欣[test_swap.xlsx]FloatFloatSwap!R64C3CashFlow,A</v>
      </c>
    </row>
    <row r="65" spans="1:3" x14ac:dyDescent="0.3">
      <c r="A65" s="46" t="s">
        <v>220</v>
      </c>
      <c r="B65" s="45" t="str">
        <f>_xll.qlSwapLegNPV(B57,1,B60)</f>
        <v>Error in arg 1 'swap': Cannot convert '欣[test_swap.xlsx]FloatFloatSwap!R57C2FloatFloatSwap,A': Expected cache string</v>
      </c>
      <c r="C65" s="27" t="str">
        <f>_xll.qlSwapLegNPV(C57,1,C60)</f>
        <v>Error in arg 1 'swap': Cannot convert '欣[test_swap.xlsx]FloatFloatSwap!R57C3FloatFloatSwap,A': Expected cache string</v>
      </c>
    </row>
    <row r="66" spans="1:3" x14ac:dyDescent="0.3">
      <c r="A66" s="44" t="s">
        <v>221</v>
      </c>
      <c r="B66" s="58" t="str">
        <f>_xll.qlSwapLegBPS(B57,1,B60)</f>
        <v>Error in arg 1 'swap': Cannot convert '欣[test_swap.xlsx]FloatFloatSwap!R57C2FloatFloatSwap,A': Expected cache string</v>
      </c>
      <c r="C66" s="59" t="str">
        <f>_xll.qlSwapLegBPS(C57,1,C60)</f>
        <v>Error in arg 1 'swap': Cannot convert '欣[test_swap.xlsx]FloatFloatSwap!R57C3FloatFloatSwap,A': Expected cache string</v>
      </c>
    </row>
    <row r="67" spans="1:3" x14ac:dyDescent="0.3">
      <c r="A67" s="46" t="s">
        <v>222</v>
      </c>
      <c r="B67" s="45" t="str">
        <f>_xll.qlSwapStartDiscounts(B57,1,B60)</f>
        <v>Error in arg 1 'swap': Cannot convert '欣[test_swap.xlsx]FloatFloatSwap!R57C2FloatFloatSwap,A': Expected cache string</v>
      </c>
      <c r="C67" s="27" t="str">
        <f>_xll.qlSwapStartDiscounts(C57,1,C60)</f>
        <v>Error in arg 1 'swap': Cannot convert '欣[test_swap.xlsx]FloatFloatSwap!R57C3FloatFloatSwap,A': Expected cache string</v>
      </c>
    </row>
    <row r="68" spans="1:3" x14ac:dyDescent="0.3">
      <c r="A68" s="44" t="s">
        <v>223</v>
      </c>
      <c r="B68" s="58" t="str">
        <f>_xll.qlSwapEndDiscounts(B57,1,B60)</f>
        <v>Error in arg 1 'swap': Cannot convert '欣[test_swap.xlsx]FloatFloatSwap!R57C2FloatFloatSwap,A': Expected cache string</v>
      </c>
      <c r="C68" s="59" t="str">
        <f>_xll.qlSwapEndDiscounts(C57,1,C60)</f>
        <v>Error in arg 1 'swap': Cannot convert '欣[test_swap.xlsx]FloatFloatSwap!R57C3FloatFloatSwap,A': Expected cache string</v>
      </c>
    </row>
    <row r="69" spans="1:3" x14ac:dyDescent="0.3">
      <c r="A69" s="46" t="s">
        <v>20</v>
      </c>
      <c r="B69" s="45" t="str">
        <f>_xll.qlSwapNpvDateDiscount(B57,B60)</f>
        <v>Error in arg 1 'swap': Cannot convert '欣[test_swap.xlsx]FloatFloatSwap!R57C2FloatFloatSwap,A': Expected cache string</v>
      </c>
      <c r="C69" s="27" t="str">
        <f>_xll.qlSwapNpvDateDiscount(C57,C60)</f>
        <v>Error in arg 1 'swap': Cannot convert '欣[test_swap.xlsx]FloatFloatSwap!R57C3FloatFloatSwap,A': Expected cache string</v>
      </c>
    </row>
    <row r="70" spans="1:3" x14ac:dyDescent="0.3">
      <c r="A70" s="44" t="s">
        <v>218</v>
      </c>
      <c r="B70" s="42" t="b">
        <f>_xll.qlSwapPayer(B57,0)</f>
        <v>1</v>
      </c>
      <c r="C70" s="24" t="b">
        <f>_xll.qlSwapPayer(C57,0)</f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B0322-8B19-4ECC-AE2A-1AE73F9372BD}">
  <dimension ref="A1:C14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5.5546875" customWidth="1"/>
    <col min="2" max="2" width="71.88671875" style="4" customWidth="1"/>
    <col min="3" max="3" width="71.5546875" style="4" customWidth="1"/>
  </cols>
  <sheetData>
    <row r="1" spans="1:3" x14ac:dyDescent="0.3">
      <c r="A1" s="30" t="s">
        <v>13</v>
      </c>
      <c r="B1" s="13">
        <v>45665</v>
      </c>
    </row>
    <row r="2" spans="1:3" x14ac:dyDescent="0.3">
      <c r="A2" s="32" t="s">
        <v>14</v>
      </c>
      <c r="B2" s="35">
        <f>_xll.qlSettingsSetEvaluationDate(B1)</f>
        <v>45665</v>
      </c>
    </row>
    <row r="4" spans="1:3" x14ac:dyDescent="0.3">
      <c r="A4" s="30" t="s">
        <v>60</v>
      </c>
      <c r="B4" s="36" t="s">
        <v>58</v>
      </c>
      <c r="C4" s="22" t="s">
        <v>58</v>
      </c>
    </row>
    <row r="5" spans="1:3" x14ac:dyDescent="0.3">
      <c r="A5" s="31" t="s">
        <v>61</v>
      </c>
      <c r="B5" s="38">
        <v>100</v>
      </c>
      <c r="C5" s="15">
        <v>100</v>
      </c>
    </row>
    <row r="6" spans="1:3" x14ac:dyDescent="0.3">
      <c r="A6" s="12" t="s">
        <v>40</v>
      </c>
      <c r="B6" s="36" t="s">
        <v>41</v>
      </c>
      <c r="C6" s="22" t="s">
        <v>41</v>
      </c>
    </row>
    <row r="7" spans="1:3" x14ac:dyDescent="0.3">
      <c r="A7" s="14" t="s">
        <v>42</v>
      </c>
      <c r="B7" s="37">
        <v>46030</v>
      </c>
      <c r="C7" s="16">
        <v>46030</v>
      </c>
    </row>
    <row r="8" spans="1:3" x14ac:dyDescent="0.3">
      <c r="A8" s="14" t="s">
        <v>43</v>
      </c>
      <c r="B8" s="37">
        <v>47126</v>
      </c>
      <c r="C8" s="16">
        <v>47126</v>
      </c>
    </row>
    <row r="9" spans="1:3" x14ac:dyDescent="0.3">
      <c r="A9" s="14" t="s">
        <v>44</v>
      </c>
      <c r="B9" s="38" t="s">
        <v>74</v>
      </c>
      <c r="C9" s="15" t="s">
        <v>74</v>
      </c>
    </row>
    <row r="10" spans="1:3" x14ac:dyDescent="0.3">
      <c r="A10" s="14" t="s">
        <v>46</v>
      </c>
      <c r="B10" s="38" t="s">
        <v>47</v>
      </c>
      <c r="C10" s="15" t="s">
        <v>47</v>
      </c>
    </row>
    <row r="11" spans="1:3" x14ac:dyDescent="0.3">
      <c r="A11" s="32" t="s">
        <v>135</v>
      </c>
      <c r="B11" s="39" t="str">
        <f>_xll.qlMakeSchedule(B7,B8,B9,,B6,B10)</f>
        <v>欣[test_swap.xlsx]OvernightIndexedSwap!R11C2Schedule,A</v>
      </c>
      <c r="C11" s="17" t="str">
        <f>_xll.qlMakeSchedule(C7,C8,C9,,C6,C10)</f>
        <v>欣[test_swap.xlsx]OvernightIndexedSwap!R11C3Schedule,A</v>
      </c>
    </row>
    <row r="12" spans="1:3" x14ac:dyDescent="0.3">
      <c r="A12" s="31" t="s">
        <v>63</v>
      </c>
      <c r="B12" s="38">
        <v>0.03</v>
      </c>
      <c r="C12" s="15">
        <v>0.03</v>
      </c>
    </row>
    <row r="13" spans="1:3" x14ac:dyDescent="0.3">
      <c r="A13" s="31" t="s">
        <v>136</v>
      </c>
      <c r="B13" s="38" t="s">
        <v>72</v>
      </c>
      <c r="C13" s="15" t="s">
        <v>72</v>
      </c>
    </row>
    <row r="14" spans="1:3" x14ac:dyDescent="0.3">
      <c r="A14" s="12" t="s">
        <v>22</v>
      </c>
      <c r="B14" s="36" t="str">
        <f>_xll.qlFlatForward(B2,0.03,"actual365fixed")</f>
        <v>欣[test_swap.xlsx]OvernightIndexedSwap!R14C2YieldTermStructureHandle,A</v>
      </c>
      <c r="C14" s="22" t="str">
        <f>_xll.qlFlatForward(B2,0.03,"actual365fixed")</f>
        <v>欣[test_swap.xlsx]OvernightIndexedSwap!R14C3YieldTermStructureHandle,A</v>
      </c>
    </row>
    <row r="15" spans="1:3" x14ac:dyDescent="0.3">
      <c r="A15" s="32" t="s">
        <v>66</v>
      </c>
      <c r="B15" s="39" t="str">
        <f>_xll.qlEstr(B14)</f>
        <v>欣[test_swap.xlsx]OvernightIndexedSwap!R15C2Estr,A</v>
      </c>
      <c r="C15" s="17" t="str">
        <f>_xll.qlEstr(C14)</f>
        <v>欣[test_swap.xlsx]OvernightIndexedSwap!R15C3Estr,A</v>
      </c>
    </row>
    <row r="16" spans="1:3" x14ac:dyDescent="0.3">
      <c r="A16" s="31" t="s">
        <v>67</v>
      </c>
      <c r="B16" s="38">
        <v>0</v>
      </c>
      <c r="C16" s="15">
        <v>3.0000000000000001E-3</v>
      </c>
    </row>
    <row r="17" spans="1:3" x14ac:dyDescent="0.3">
      <c r="A17" s="31" t="s">
        <v>137</v>
      </c>
      <c r="B17" s="38">
        <v>0</v>
      </c>
      <c r="C17" s="15">
        <v>1</v>
      </c>
    </row>
    <row r="18" spans="1:3" x14ac:dyDescent="0.3">
      <c r="A18" s="31" t="s">
        <v>138</v>
      </c>
      <c r="B18" s="38" t="s">
        <v>75</v>
      </c>
      <c r="C18" s="15" t="s">
        <v>82</v>
      </c>
    </row>
    <row r="19" spans="1:3" x14ac:dyDescent="0.3">
      <c r="A19" s="31" t="s">
        <v>139</v>
      </c>
      <c r="B19" s="38" t="s">
        <v>299</v>
      </c>
      <c r="C19" s="15" t="str">
        <f>_xll.qlCalendar("TARGET")</f>
        <v>TARGET</v>
      </c>
    </row>
    <row r="20" spans="1:3" x14ac:dyDescent="0.3">
      <c r="A20" s="31" t="s">
        <v>140</v>
      </c>
      <c r="B20" s="38"/>
      <c r="C20" s="15" t="b">
        <v>1</v>
      </c>
    </row>
    <row r="21" spans="1:3" x14ac:dyDescent="0.3">
      <c r="A21" s="31" t="s">
        <v>141</v>
      </c>
      <c r="B21" s="38"/>
      <c r="C21" s="15" t="s">
        <v>146</v>
      </c>
    </row>
    <row r="22" spans="1:3" x14ac:dyDescent="0.3">
      <c r="A22" s="31" t="s">
        <v>142</v>
      </c>
      <c r="B22" s="38"/>
      <c r="C22" s="15">
        <v>0</v>
      </c>
    </row>
    <row r="23" spans="1:3" x14ac:dyDescent="0.3">
      <c r="A23" s="31" t="s">
        <v>143</v>
      </c>
      <c r="B23" s="38"/>
      <c r="C23" s="15">
        <v>0</v>
      </c>
    </row>
    <row r="24" spans="1:3" x14ac:dyDescent="0.3">
      <c r="A24" s="31" t="s">
        <v>144</v>
      </c>
      <c r="B24" s="38"/>
      <c r="C24" s="15" t="b">
        <v>1</v>
      </c>
    </row>
    <row r="25" spans="1:3" x14ac:dyDescent="0.3">
      <c r="A25" s="18" t="s">
        <v>145</v>
      </c>
      <c r="B25" s="39" t="str">
        <f>_xll.qlOvernightIndexedSwap(B4,B5,B11,B12,B13,B15,B16,B17,B18,B19)</f>
        <v>欣[test_swap.xlsx]OvernightIndexedSwap!R25C2OvernightIndexedSwap,A</v>
      </c>
      <c r="C25" s="17" t="str">
        <f>_xll.qlOvernightIndexedSwap(C4,C5,C11,C12,C13,C15,C16,C17,C18,C19,C20,C21,C22,C23,C24)</f>
        <v>欣[test_swap.xlsx]OvernightIndexedSwap!R25C3OvernightIndexedSwap,A</v>
      </c>
    </row>
    <row r="26" spans="1:3" x14ac:dyDescent="0.3">
      <c r="A26" s="12" t="s">
        <v>22</v>
      </c>
      <c r="B26" s="36" t="str">
        <f>_xll.qlFlatForward(B2,0.03,"actual365fixed")</f>
        <v>欣[test_swap.xlsx]OvernightIndexedSwap!R26C2YieldTermStructureHandle,A</v>
      </c>
      <c r="C26" s="22" t="str">
        <f>_xll.qlFlatForward(B2,0.03,"actual365fixed")</f>
        <v>欣[test_swap.xlsx]OvernightIndexedSwap!R26C3YieldTermStructureHandle,A</v>
      </c>
    </row>
    <row r="27" spans="1:3" x14ac:dyDescent="0.3">
      <c r="A27" s="18" t="s">
        <v>21</v>
      </c>
      <c r="B27" s="39" t="str">
        <f>_xll.qlDiscountingSwapEngine(B26,FALSE)</f>
        <v>Error in arg 1 'discount_curve': Cannot convert '欣[test_swap.xlsx]OvernightIndexedSwap!R26C2YieldTermStructureHandle,A': Expected cache string</v>
      </c>
      <c r="C27" s="17" t="str">
        <f>_xll.qlDiscountingSwapEngine(C26,FALSE)</f>
        <v>Error in arg 1 'discount_curve': Cannot convert '欣[test_swap.xlsx]OvernightIndexedSwap!R26C3YieldTermStructureHandle,A': Expected cache string</v>
      </c>
    </row>
    <row r="28" spans="1:3" x14ac:dyDescent="0.3">
      <c r="A28" s="26" t="s">
        <v>296</v>
      </c>
      <c r="B28" s="45" t="str">
        <f>_xll.qlInstrumentSetPricingEngine(B25,B27)</f>
        <v>Error in arg 1 'instrument': Cannot convert '欣[test_swap.xlsx]OvernightIndexedSwap!R25C2OvernightIndexedSwap,A': Expected cache string</v>
      </c>
      <c r="C28" s="15" t="str">
        <f>_xll.qlInstrumentSetPricingEngine(C25,C27)</f>
        <v>Error in arg 1 'instrument': Cannot convert '欣[test_swap.xlsx]OvernightIndexedSwap!R25C3OvernightIndexedSwap,A': Expected cache string</v>
      </c>
    </row>
    <row r="29" spans="1:3" x14ac:dyDescent="0.3">
      <c r="A29" s="23" t="s">
        <v>17</v>
      </c>
      <c r="B29" s="42">
        <f>_xll.qlSwapNumberOfLegs(B25)</f>
        <v>2</v>
      </c>
      <c r="C29" s="24">
        <f>_xll.qlSwapNumberOfLegs(C25)</f>
        <v>2</v>
      </c>
    </row>
    <row r="30" spans="1:3" x14ac:dyDescent="0.3">
      <c r="A30" s="28" t="s">
        <v>18</v>
      </c>
      <c r="B30" s="37">
        <f>_xll.qlSwapStartDate(B25)</f>
        <v>46030</v>
      </c>
      <c r="C30" s="16">
        <f>_xll.qlSwapStartDate(C25)</f>
        <v>46030</v>
      </c>
    </row>
    <row r="31" spans="1:3" x14ac:dyDescent="0.3">
      <c r="A31" s="23" t="s">
        <v>19</v>
      </c>
      <c r="B31" s="43">
        <f>_xll.qlSwapMaturityDate(B25)</f>
        <v>47126</v>
      </c>
      <c r="C31" s="25">
        <f>_xll.qlSwapMaturityDate(C25)</f>
        <v>47126</v>
      </c>
    </row>
    <row r="32" spans="1:3" x14ac:dyDescent="0.3">
      <c r="A32" s="28" t="s">
        <v>219</v>
      </c>
      <c r="B32" s="38" t="str">
        <f>_xll.qlSwapLeg(B25,1)</f>
        <v>欣[test_swap.xlsx]OvernightIndexedSwap!R32C2CashFlow,A</v>
      </c>
      <c r="C32" s="15" t="str">
        <f>_xll.qlSwapLeg(C25,1)</f>
        <v>欣[test_swap.xlsx]OvernightIndexedSwap!R32C3CashFlow,A</v>
      </c>
    </row>
    <row r="33" spans="1:3" x14ac:dyDescent="0.3">
      <c r="A33" s="23" t="s">
        <v>220</v>
      </c>
      <c r="B33" s="42" t="str">
        <f>_xll.qlSwapLegNPV(B25,1,B28)</f>
        <v>Error in arg 1 'swap': Cannot convert '欣[test_swap.xlsx]OvernightIndexedSwap!R25C2OvernightIndexedSwap,A': Expected cache string</v>
      </c>
      <c r="C33" s="24" t="str">
        <f>_xll.qlSwapLegNPV(C25,1,C28)</f>
        <v>Error in arg 1 'swap': Cannot convert '欣[test_swap.xlsx]OvernightIndexedSwap!R25C3OvernightIndexedSwap,A': Expected cache string</v>
      </c>
    </row>
    <row r="34" spans="1:3" x14ac:dyDescent="0.3">
      <c r="A34" s="28" t="s">
        <v>221</v>
      </c>
      <c r="B34" s="38" t="str">
        <f>_xll.qlSwapLegBPS(B25,1,B28)</f>
        <v>Error in arg 1 'swap': Cannot convert '欣[test_swap.xlsx]OvernightIndexedSwap!R25C2OvernightIndexedSwap,A': Expected cache string</v>
      </c>
      <c r="C34" s="15" t="str">
        <f>_xll.qlSwapLegBPS(C25,1,C28)</f>
        <v>Error in arg 1 'swap': Cannot convert '欣[test_swap.xlsx]OvernightIndexedSwap!R25C3OvernightIndexedSwap,A': Expected cache string</v>
      </c>
    </row>
    <row r="35" spans="1:3" x14ac:dyDescent="0.3">
      <c r="A35" s="23" t="s">
        <v>222</v>
      </c>
      <c r="B35" s="42" t="str">
        <f>_xll.qlSwapStartDiscounts(B25,1,B28)</f>
        <v>Error in arg 1 'swap': Cannot convert '欣[test_swap.xlsx]OvernightIndexedSwap!R25C2OvernightIndexedSwap,A': Expected cache string</v>
      </c>
      <c r="C35" s="24" t="str">
        <f>_xll.qlSwapStartDiscounts(C25,1,C28)</f>
        <v>Error in arg 1 'swap': Cannot convert '欣[test_swap.xlsx]OvernightIndexedSwap!R25C3OvernightIndexedSwap,A': Expected cache string</v>
      </c>
    </row>
    <row r="36" spans="1:3" x14ac:dyDescent="0.3">
      <c r="A36" s="28" t="s">
        <v>223</v>
      </c>
      <c r="B36" s="38" t="str">
        <f>_xll.qlSwapEndDiscounts(B25,1,B28)</f>
        <v>Error in arg 1 'swap': Cannot convert '欣[test_swap.xlsx]OvernightIndexedSwap!R25C2OvernightIndexedSwap,A': Expected cache string</v>
      </c>
      <c r="C36" s="15" t="str">
        <f>_xll.qlSwapEndDiscounts(C25,1,C28)</f>
        <v>Error in arg 1 'swap': Cannot convert '欣[test_swap.xlsx]OvernightIndexedSwap!R25C3OvernightIndexedSwap,A': Expected cache string</v>
      </c>
    </row>
    <row r="37" spans="1:3" x14ac:dyDescent="0.3">
      <c r="A37" s="23" t="s">
        <v>20</v>
      </c>
      <c r="B37" s="42" t="str">
        <f>_xll.qlSwapNpvDateDiscount(B25,B28)</f>
        <v>Error in arg 1 'swap': Cannot convert '欣[test_swap.xlsx]OvernightIndexedSwap!R25C2OvernightIndexedSwap,A': Expected cache string</v>
      </c>
      <c r="C37" s="24" t="str">
        <f>_xll.qlSwapNpvDateDiscount(C25,C28)</f>
        <v>Error in arg 1 'swap': Cannot convert '欣[test_swap.xlsx]OvernightIndexedSwap!R25C3OvernightIndexedSwap,A': Expected cache string</v>
      </c>
    </row>
    <row r="38" spans="1:3" x14ac:dyDescent="0.3">
      <c r="A38" s="46" t="s">
        <v>218</v>
      </c>
      <c r="B38" s="38" t="b">
        <f>_xll.qlSwapPayer(B25,1)</f>
        <v>0</v>
      </c>
      <c r="C38" s="15" t="b">
        <f>_xll.qlSwapPayer(C25,1)</f>
        <v>0</v>
      </c>
    </row>
    <row r="39" spans="1:3" x14ac:dyDescent="0.3">
      <c r="A39" s="23" t="s">
        <v>147</v>
      </c>
      <c r="B39" s="42" t="str">
        <f>_xll.qlOvernightIndexedSwapOvernightLegBPS(B25,B28)</f>
        <v>Error in arg 1 'swap': Cannot convert '欣[test_swap.xlsx]OvernightIndexedSwap!R25C2OvernightIndexedSwap,A': Expected cache string</v>
      </c>
      <c r="C39" s="24" t="str">
        <f>_xll.qlOvernightIndexedSwapOvernightLegBPS(C25,C28)</f>
        <v>Error in arg 1 'swap': Cannot convert '欣[test_swap.xlsx]OvernightIndexedSwap!R25C3OvernightIndexedSwap,A': Expected cache string</v>
      </c>
    </row>
    <row r="40" spans="1:3" x14ac:dyDescent="0.3">
      <c r="A40" s="28" t="s">
        <v>148</v>
      </c>
      <c r="B40" s="38" t="str">
        <f>_xll.qlOvernightIndexedSwapOvernightLegNPV(B25,B28)</f>
        <v>Error in arg 1 'swap': Cannot convert '欣[test_swap.xlsx]OvernightIndexedSwap!R25C2OvernightIndexedSwap,A': Expected cache string</v>
      </c>
      <c r="C40" s="15" t="str">
        <f>_xll.qlOvernightIndexedSwapOvernightLegNPV(C25,C28)</f>
        <v>Error in arg 1 'swap': Cannot convert '欣[test_swap.xlsx]OvernightIndexedSwap!R25C3OvernightIndexedSwap,A': Expected cache string</v>
      </c>
    </row>
    <row r="41" spans="1:3" x14ac:dyDescent="0.3">
      <c r="A41" s="23" t="s">
        <v>149</v>
      </c>
      <c r="B41" s="42" t="str">
        <f>_xll.qlOvernightIndexedSwapPaymentFrequency(B25)</f>
        <v>ANNUAL</v>
      </c>
      <c r="C41" s="24" t="str">
        <f>_xll.qlOvernightIndexedSwapPaymentFrequency(C25)</f>
        <v>ANNUAL</v>
      </c>
    </row>
    <row r="42" spans="1:3" x14ac:dyDescent="0.3">
      <c r="A42" s="28" t="s">
        <v>150</v>
      </c>
      <c r="B42" s="38" t="str">
        <f>_xll.qlOvernightIndexedSwapOvernightIndex(B25)</f>
        <v>欣[test_swap.xlsx]OvernightIndexedSwap!R42C2OvernightIndex,A</v>
      </c>
      <c r="C42" s="15" t="str">
        <f>_xll.qlOvernightIndexedSwapOvernightIndex(C25)</f>
        <v>欣[test_swap.xlsx]OvernightIndexedSwap!R42C3OvernightIndex,A</v>
      </c>
    </row>
    <row r="43" spans="1:3" x14ac:dyDescent="0.3">
      <c r="A43" s="23" t="s">
        <v>151</v>
      </c>
      <c r="B43" s="42" t="str">
        <f>_xll.qlOvernightIndexedSwapOvernightLeg(B25)</f>
        <v>欣[test_swap.xlsx]OvernightIndexedSwap!R43C2CashFlow,A</v>
      </c>
      <c r="C43" s="24" t="str">
        <f>_xll.qlOvernightIndexedSwapOvernightLeg(C25)</f>
        <v>欣[test_swap.xlsx]OvernightIndexedSwap!R43C3CashFlow,A</v>
      </c>
    </row>
    <row r="44" spans="1:3" x14ac:dyDescent="0.3">
      <c r="A44" s="28" t="s">
        <v>152</v>
      </c>
      <c r="B44" s="38" t="str">
        <f>_xll.qlOvernightIndexedSwapAveragingMethod(B25)</f>
        <v>COMPOUND</v>
      </c>
      <c r="C44" s="15" t="str">
        <f>_xll.qlOvernightIndexedSwapAveragingMethod(C25)</f>
        <v>COMPOUND</v>
      </c>
    </row>
    <row r="45" spans="1:3" x14ac:dyDescent="0.3">
      <c r="A45" s="23" t="s">
        <v>153</v>
      </c>
      <c r="B45" s="42">
        <f>_xll.qlOvernightIndexedSwapLookbackDays(B25)</f>
        <v>2147483647</v>
      </c>
      <c r="C45" s="24">
        <f>_xll.qlOvernightIndexedSwapLookbackDays(C25)</f>
        <v>0</v>
      </c>
    </row>
    <row r="46" spans="1:3" x14ac:dyDescent="0.3">
      <c r="A46" s="28" t="s">
        <v>154</v>
      </c>
      <c r="B46" s="38">
        <f>_xll.qlOvernightIndexedSwapLockoutDays(B25)</f>
        <v>0</v>
      </c>
      <c r="C46" s="15">
        <f>_xll.qlOvernightIndexedSwapLockoutDays(C25)</f>
        <v>0</v>
      </c>
    </row>
    <row r="47" spans="1:3" x14ac:dyDescent="0.3">
      <c r="A47" s="23" t="s">
        <v>155</v>
      </c>
      <c r="B47" s="42" t="b">
        <f>_xll.qlOvernightIndexedSwapApplyObservationShift(B25)</f>
        <v>0</v>
      </c>
      <c r="C47" s="24" t="b">
        <f>_xll.qlOvernightIndexedSwapApplyObservationShift(C25)</f>
        <v>1</v>
      </c>
    </row>
    <row r="48" spans="1:3" x14ac:dyDescent="0.3">
      <c r="A48" s="28" t="s">
        <v>275</v>
      </c>
      <c r="B48" s="38" t="str">
        <f>_xll.qlFixedVsFloatingSwapType(B25)</f>
        <v>PAYER</v>
      </c>
      <c r="C48" s="15" t="str">
        <f>_xll.qlFixedVsFloatingSwapType(C25)</f>
        <v>PAYER</v>
      </c>
    </row>
    <row r="49" spans="1:3" x14ac:dyDescent="0.3">
      <c r="A49" s="23" t="s">
        <v>276</v>
      </c>
      <c r="B49" s="42">
        <f>_xll.qlFixedVsFloatingSwapNominal(B25)</f>
        <v>100</v>
      </c>
      <c r="C49" s="24">
        <f>_xll.qlFixedVsFloatingSwapNominal(C25)</f>
        <v>100</v>
      </c>
    </row>
    <row r="50" spans="1:3" x14ac:dyDescent="0.3">
      <c r="A50" s="46" t="s">
        <v>277</v>
      </c>
      <c r="B50" s="38">
        <f>_xll.qlFixedVsFloatingSwapNominals(B25)</f>
        <v>100</v>
      </c>
      <c r="C50" s="15">
        <f>_xll.qlFixedVsFloatingSwapNominals(C25)</f>
        <v>100</v>
      </c>
    </row>
    <row r="51" spans="1:3" x14ac:dyDescent="0.3">
      <c r="A51" s="44" t="s">
        <v>278</v>
      </c>
      <c r="B51" s="42">
        <f>_xll.qlFixedVsFloatingSwapFixedNominals(B25)</f>
        <v>100</v>
      </c>
      <c r="C51" s="24">
        <f>_xll.qlFixedVsFloatingSwapFixedNominals(C25)</f>
        <v>100</v>
      </c>
    </row>
    <row r="52" spans="1:3" x14ac:dyDescent="0.3">
      <c r="A52" s="46" t="s">
        <v>279</v>
      </c>
      <c r="B52" s="38" t="str">
        <f>_xll.qlFixedVsFloatingSwapFixedSchedule(B25)</f>
        <v>欣[test_swap.xlsx]OvernightIndexedSwap!R52C2Schedule,A</v>
      </c>
      <c r="C52" s="15" t="str">
        <f>_xll.qlFixedVsFloatingSwapFixedSchedule(C25)</f>
        <v>欣[test_swap.xlsx]OvernightIndexedSwap!R52C3Schedule,A</v>
      </c>
    </row>
    <row r="53" spans="1:3" x14ac:dyDescent="0.3">
      <c r="A53" s="44" t="s">
        <v>280</v>
      </c>
      <c r="B53" s="42">
        <f>_xll.qlFixedVsFloatingSwapFixedRate(B25)</f>
        <v>0.03</v>
      </c>
      <c r="C53" s="24">
        <f>_xll.qlFixedVsFloatingSwapFixedRate(C25)</f>
        <v>0.03</v>
      </c>
    </row>
    <row r="54" spans="1:3" x14ac:dyDescent="0.3">
      <c r="A54" s="46" t="s">
        <v>281</v>
      </c>
      <c r="B54" s="38" t="str">
        <f>_xll.qlFixedVsFloatingSwapFixedDayCount(B25)</f>
        <v>Actual/360</v>
      </c>
      <c r="C54" s="15" t="str">
        <f>_xll.qlFixedVsFloatingSwapFixedDayCount(C25)</f>
        <v>Actual/360</v>
      </c>
    </row>
    <row r="55" spans="1:3" x14ac:dyDescent="0.3">
      <c r="A55" s="44" t="s">
        <v>282</v>
      </c>
      <c r="B55" s="42">
        <f>_xll.qlFixedVsFloatingSwapFloatingNominals(B25)</f>
        <v>100</v>
      </c>
      <c r="C55" s="24">
        <f>_xll.qlFixedVsFloatingSwapFloatingNominals(C25)</f>
        <v>100</v>
      </c>
    </row>
    <row r="56" spans="1:3" x14ac:dyDescent="0.3">
      <c r="A56" s="28" t="s">
        <v>284</v>
      </c>
      <c r="B56" s="38" t="str">
        <f>_xll.qlFixedVsFloatingSwapFloatingSchedule(B25)</f>
        <v>欣[test_swap.xlsx]OvernightIndexedSwap!R56C2Schedule,A</v>
      </c>
      <c r="C56" s="15" t="str">
        <f>_xll.qlFixedVsFloatingSwapFloatingSchedule(C25)</f>
        <v>欣[test_swap.xlsx]OvernightIndexedSwap!R56C3Schedule,A</v>
      </c>
    </row>
    <row r="57" spans="1:3" x14ac:dyDescent="0.3">
      <c r="A57" s="23" t="s">
        <v>283</v>
      </c>
      <c r="B57" s="42" t="str">
        <f>_xll.qlFixedVsFloatingSwapIborIndex(B25)</f>
        <v>欣[test_swap.xlsx]OvernightIndexedSwap!R57C2IborIndex,A</v>
      </c>
      <c r="C57" s="24" t="str">
        <f>_xll.qlFixedVsFloatingSwapIborIndex(C25)</f>
        <v>欣[test_swap.xlsx]OvernightIndexedSwap!R57C3IborIndex,A</v>
      </c>
    </row>
    <row r="58" spans="1:3" x14ac:dyDescent="0.3">
      <c r="A58" s="28" t="s">
        <v>285</v>
      </c>
      <c r="B58" s="38">
        <f>_xll.qlFixedVsFloatingSwapSpread(B25)</f>
        <v>0</v>
      </c>
      <c r="C58" s="15">
        <f>_xll.qlFixedVsFloatingSwapSpread(C25)</f>
        <v>3.0000000000000001E-3</v>
      </c>
    </row>
    <row r="59" spans="1:3" x14ac:dyDescent="0.3">
      <c r="A59" s="23" t="s">
        <v>286</v>
      </c>
      <c r="B59" s="58">
        <f>FIND("RuntimeError: RuntimeError: no day counter implementation provided",_xll.qlFixedVsFloatingSwapFloatingDayCount(B25))</f>
        <v>1</v>
      </c>
      <c r="C59" s="59">
        <f>FIND("RuntimeError: RuntimeError: no day counter implementation provided",_xll.qlFixedVsFloatingSwapFloatingDayCount(C25))</f>
        <v>1</v>
      </c>
    </row>
    <row r="60" spans="1:3" x14ac:dyDescent="0.3">
      <c r="A60" s="28" t="s">
        <v>287</v>
      </c>
      <c r="B60" s="38" t="str">
        <f>_xll.qlFixedVsFloatingSwapPaymentConvention(B25)</f>
        <v>FOLLOWING</v>
      </c>
      <c r="C60" s="15" t="str">
        <f>_xll.qlFixedVsFloatingSwapPaymentConvention(C25)</f>
        <v>FOLLOWING</v>
      </c>
    </row>
    <row r="61" spans="1:3" x14ac:dyDescent="0.3">
      <c r="A61" s="23" t="s">
        <v>288</v>
      </c>
      <c r="B61" s="42" t="str">
        <f>_xll.qlFixedVsFloatingSwapFixedLeg(B25)</f>
        <v>欣[test_swap.xlsx]OvernightIndexedSwap!R61C2CashFlow,A</v>
      </c>
      <c r="C61" s="24" t="str">
        <f>_xll.qlFixedVsFloatingSwapFixedLeg(C25)</f>
        <v>欣[test_swap.xlsx]OvernightIndexedSwap!R61C3CashFlow,A</v>
      </c>
    </row>
    <row r="62" spans="1:3" x14ac:dyDescent="0.3">
      <c r="A62" s="28" t="s">
        <v>289</v>
      </c>
      <c r="B62" s="38" t="str">
        <f>_xll.qlFixedVsFloatingSwapFloatingLeg(B25)</f>
        <v>欣[test_swap.xlsx]OvernightIndexedSwap!R62C2CashFlow,A</v>
      </c>
      <c r="C62" s="15" t="str">
        <f>_xll.qlFixedVsFloatingSwapFloatingLeg(C25)</f>
        <v>欣[test_swap.xlsx]OvernightIndexedSwap!R62C3CashFlow,A</v>
      </c>
    </row>
    <row r="63" spans="1:3" x14ac:dyDescent="0.3">
      <c r="A63" s="23" t="s">
        <v>290</v>
      </c>
      <c r="B63" s="42" t="str">
        <f>_xll.qlFixedVsFloatingSwapFixedLegBPS(B25,B28)</f>
        <v>Error in arg 1 'swap': Cannot convert '欣[test_swap.xlsx]OvernightIndexedSwap!R25C2OvernightIndexedSwap,A': Expected cache string</v>
      </c>
      <c r="C63" s="24" t="str">
        <f>_xll.qlFixedVsFloatingSwapFixedLegBPS(C25,C28)</f>
        <v>Error in arg 1 'swap': Cannot convert '欣[test_swap.xlsx]OvernightIndexedSwap!R25C3OvernightIndexedSwap,A': Expected cache string</v>
      </c>
    </row>
    <row r="64" spans="1:3" x14ac:dyDescent="0.3">
      <c r="A64" s="28" t="s">
        <v>291</v>
      </c>
      <c r="B64" s="38" t="str">
        <f>_xll.qlFixedVsFloatingSwapFixedLegNPV(B25,B28)</f>
        <v>Error in arg 1 'swap': Cannot convert '欣[test_swap.xlsx]OvernightIndexedSwap!R25C2OvernightIndexedSwap,A': Expected cache string</v>
      </c>
      <c r="C64" s="15" t="str">
        <f>_xll.qlFixedVsFloatingSwapFixedLegNPV(C25,C28)</f>
        <v>Error in arg 1 'swap': Cannot convert '欣[test_swap.xlsx]OvernightIndexedSwap!R25C3OvernightIndexedSwap,A': Expected cache string</v>
      </c>
    </row>
    <row r="65" spans="1:3" x14ac:dyDescent="0.3">
      <c r="A65" s="23" t="s">
        <v>292</v>
      </c>
      <c r="B65" s="42" t="str">
        <f>_xll.qlFixedVsFloatingSwapFairRate(B25,B28)</f>
        <v>Error in arg 1 'swap': Cannot convert '欣[test_swap.xlsx]OvernightIndexedSwap!R25C2OvernightIndexedSwap,A': Expected cache string</v>
      </c>
      <c r="C65" s="24" t="str">
        <f>_xll.qlFixedVsFloatingSwapFairRate(C25,C28)</f>
        <v>Error in arg 1 'swap': Cannot convert '欣[test_swap.xlsx]OvernightIndexedSwap!R25C3OvernightIndexedSwap,A': Expected cache string</v>
      </c>
    </row>
    <row r="66" spans="1:3" x14ac:dyDescent="0.3">
      <c r="A66" s="28" t="s">
        <v>293</v>
      </c>
      <c r="B66" s="38" t="str">
        <f>_xll.qlFixedVsFloatingSwapFloatingLegBPS(B25,B28)</f>
        <v>Error in arg 1 'swap': Cannot convert '欣[test_swap.xlsx]OvernightIndexedSwap!R25C2OvernightIndexedSwap,A': Expected cache string</v>
      </c>
      <c r="C66" s="15" t="str">
        <f>_xll.qlFixedVsFloatingSwapFloatingLegBPS(C25,C28)</f>
        <v>Error in arg 1 'swap': Cannot convert '欣[test_swap.xlsx]OvernightIndexedSwap!R25C3OvernightIndexedSwap,A': Expected cache string</v>
      </c>
    </row>
    <row r="67" spans="1:3" x14ac:dyDescent="0.3">
      <c r="A67" s="23" t="s">
        <v>294</v>
      </c>
      <c r="B67" s="42" t="str">
        <f>_xll.qlFixedVsFloatingSwapFloatingLegNPV(B25,B28)</f>
        <v>Error in arg 1 'swap': Cannot convert '欣[test_swap.xlsx]OvernightIndexedSwap!R25C2OvernightIndexedSwap,A': Expected cache string</v>
      </c>
      <c r="C67" s="24" t="str">
        <f>_xll.qlFixedVsFloatingSwapFloatingLegNPV(C25,C28)</f>
        <v>Error in arg 1 'swap': Cannot convert '欣[test_swap.xlsx]OvernightIndexedSwap!R25C3OvernightIndexedSwap,A': Expected cache string</v>
      </c>
    </row>
    <row r="68" spans="1:3" x14ac:dyDescent="0.3">
      <c r="A68" s="18" t="s">
        <v>295</v>
      </c>
      <c r="B68" s="39" t="str">
        <f>_xll.qlFixedVsFloatingSwapFairSpread(B25,B28)</f>
        <v>Error in arg 1 'swap': Cannot convert '欣[test_swap.xlsx]OvernightIndexedSwap!R25C2OvernightIndexedSwap,A': Expected cache string</v>
      </c>
      <c r="C68" s="17" t="str">
        <f>_xll.qlFixedVsFloatingSwapFairSpread(C25,C28)</f>
        <v>Error in arg 1 'swap': Cannot convert '欣[test_swap.xlsx]OvernightIndexedSwap!R25C3OvernightIndexedSwap,A': Expected cache string</v>
      </c>
    </row>
    <row r="69" spans="1:3" x14ac:dyDescent="0.3">
      <c r="B69" s="10"/>
      <c r="C69" s="10"/>
    </row>
    <row r="70" spans="1:3" x14ac:dyDescent="0.3">
      <c r="B70" s="10"/>
      <c r="C70" s="10"/>
    </row>
    <row r="71" spans="1:3" x14ac:dyDescent="0.3">
      <c r="B71" s="10"/>
      <c r="C71" s="10"/>
    </row>
    <row r="73" spans="1:3" x14ac:dyDescent="0.3">
      <c r="A73" s="30" t="s">
        <v>60</v>
      </c>
      <c r="B73" s="36" t="s">
        <v>58</v>
      </c>
      <c r="C73" s="22" t="s">
        <v>58</v>
      </c>
    </row>
    <row r="74" spans="1:3" x14ac:dyDescent="0.3">
      <c r="A74" s="53" t="s">
        <v>156</v>
      </c>
      <c r="B74" s="36">
        <v>100</v>
      </c>
      <c r="C74" s="22">
        <v>100</v>
      </c>
    </row>
    <row r="75" spans="1:3" x14ac:dyDescent="0.3">
      <c r="A75" s="20" t="s">
        <v>156</v>
      </c>
      <c r="B75" s="38">
        <v>100</v>
      </c>
      <c r="C75" s="15">
        <v>100</v>
      </c>
    </row>
    <row r="76" spans="1:3" x14ac:dyDescent="0.3">
      <c r="A76" s="21" t="s">
        <v>156</v>
      </c>
      <c r="B76" s="39">
        <v>100</v>
      </c>
      <c r="C76" s="17">
        <v>100</v>
      </c>
    </row>
    <row r="77" spans="1:3" x14ac:dyDescent="0.3">
      <c r="A77" s="14" t="s">
        <v>40</v>
      </c>
      <c r="B77" s="38" t="s">
        <v>41</v>
      </c>
      <c r="C77" s="15" t="s">
        <v>41</v>
      </c>
    </row>
    <row r="78" spans="1:3" x14ac:dyDescent="0.3">
      <c r="A78" s="14" t="s">
        <v>42</v>
      </c>
      <c r="B78" s="37">
        <v>46030</v>
      </c>
      <c r="C78" s="16">
        <v>46030</v>
      </c>
    </row>
    <row r="79" spans="1:3" x14ac:dyDescent="0.3">
      <c r="A79" s="14" t="s">
        <v>43</v>
      </c>
      <c r="B79" s="37">
        <v>47126</v>
      </c>
      <c r="C79" s="16">
        <v>47126</v>
      </c>
    </row>
    <row r="80" spans="1:3" x14ac:dyDescent="0.3">
      <c r="A80" s="14" t="s">
        <v>44</v>
      </c>
      <c r="B80" s="38" t="s">
        <v>74</v>
      </c>
      <c r="C80" s="15" t="s">
        <v>74</v>
      </c>
    </row>
    <row r="81" spans="1:3" x14ac:dyDescent="0.3">
      <c r="A81" s="14" t="s">
        <v>46</v>
      </c>
      <c r="B81" s="38" t="s">
        <v>47</v>
      </c>
      <c r="C81" s="15" t="s">
        <v>47</v>
      </c>
    </row>
    <row r="82" spans="1:3" x14ac:dyDescent="0.3">
      <c r="A82" s="31" t="s">
        <v>62</v>
      </c>
      <c r="B82" s="38" t="str">
        <f>_xll.qlMakeSchedule(B78,B79,B80,,B77,B81)</f>
        <v>欣[test_swap.xlsx]OvernightIndexedSwap!R82C2Schedule,A</v>
      </c>
      <c r="C82" s="15" t="str">
        <f>_xll.qlMakeSchedule(C78,C79,C80,,C77,C81)</f>
        <v>欣[test_swap.xlsx]OvernightIndexedSwap!R82C3Schedule,A</v>
      </c>
    </row>
    <row r="83" spans="1:3" x14ac:dyDescent="0.3">
      <c r="A83" s="31" t="s">
        <v>63</v>
      </c>
      <c r="B83" s="38">
        <v>0.03</v>
      </c>
      <c r="C83" s="15">
        <v>0.03</v>
      </c>
    </row>
    <row r="84" spans="1:3" x14ac:dyDescent="0.3">
      <c r="A84" s="31" t="s">
        <v>136</v>
      </c>
      <c r="B84" s="38" t="s">
        <v>84</v>
      </c>
      <c r="C84" s="15" t="s">
        <v>84</v>
      </c>
    </row>
    <row r="85" spans="1:3" x14ac:dyDescent="0.3">
      <c r="A85" s="53" t="s">
        <v>157</v>
      </c>
      <c r="B85" s="36">
        <v>100</v>
      </c>
      <c r="C85" s="22">
        <v>100</v>
      </c>
    </row>
    <row r="86" spans="1:3" x14ac:dyDescent="0.3">
      <c r="A86" s="20" t="s">
        <v>157</v>
      </c>
      <c r="B86" s="38">
        <v>100</v>
      </c>
      <c r="C86" s="15">
        <v>100</v>
      </c>
    </row>
    <row r="87" spans="1:3" x14ac:dyDescent="0.3">
      <c r="A87" s="21" t="s">
        <v>157</v>
      </c>
      <c r="B87" s="39">
        <v>100</v>
      </c>
      <c r="C87" s="17">
        <v>100</v>
      </c>
    </row>
    <row r="88" spans="1:3" x14ac:dyDescent="0.3">
      <c r="A88" s="14" t="s">
        <v>40</v>
      </c>
      <c r="B88" s="38" t="s">
        <v>41</v>
      </c>
      <c r="C88" s="15" t="s">
        <v>41</v>
      </c>
    </row>
    <row r="89" spans="1:3" x14ac:dyDescent="0.3">
      <c r="A89" s="14" t="s">
        <v>42</v>
      </c>
      <c r="B89" s="37">
        <v>46030</v>
      </c>
      <c r="C89" s="16">
        <v>46030</v>
      </c>
    </row>
    <row r="90" spans="1:3" x14ac:dyDescent="0.3">
      <c r="A90" s="14" t="s">
        <v>43</v>
      </c>
      <c r="B90" s="37">
        <v>47126</v>
      </c>
      <c r="C90" s="16">
        <v>47126</v>
      </c>
    </row>
    <row r="91" spans="1:3" x14ac:dyDescent="0.3">
      <c r="A91" s="14" t="s">
        <v>44</v>
      </c>
      <c r="B91" s="38" t="s">
        <v>74</v>
      </c>
      <c r="C91" s="15" t="s">
        <v>74</v>
      </c>
    </row>
    <row r="92" spans="1:3" x14ac:dyDescent="0.3">
      <c r="A92" s="14" t="s">
        <v>46</v>
      </c>
      <c r="B92" s="38" t="s">
        <v>47</v>
      </c>
      <c r="C92" s="15" t="s">
        <v>47</v>
      </c>
    </row>
    <row r="93" spans="1:3" x14ac:dyDescent="0.3">
      <c r="A93" s="31" t="s">
        <v>158</v>
      </c>
      <c r="B93" s="38" t="str">
        <f>_xll.qlMakeSchedule(B89,B90,B91,,B88,B92)</f>
        <v>欣[test_swap.xlsx]OvernightIndexedSwap!R93C2Schedule,A</v>
      </c>
      <c r="C93" s="15" t="str">
        <f>_xll.qlMakeSchedule(C89,C90,C91,,C88,C92)</f>
        <v>欣[test_swap.xlsx]OvernightIndexedSwap!R93C3Schedule,A</v>
      </c>
    </row>
    <row r="94" spans="1:3" x14ac:dyDescent="0.3">
      <c r="A94" s="70" t="s">
        <v>22</v>
      </c>
      <c r="B94" s="36" t="str">
        <f>_xll.qlFlatForward(B2,0.03,"actual365fixed")</f>
        <v>欣[test_swap.xlsx]OvernightIndexedSwap!R94C2YieldTermStructureHandle,A</v>
      </c>
      <c r="C94" s="22" t="str">
        <f>_xll.qlFlatForward(B2,0.03,"actual365fixed")</f>
        <v>欣[test_swap.xlsx]OvernightIndexedSwap!R94C3YieldTermStructureHandle,A</v>
      </c>
    </row>
    <row r="95" spans="1:3" x14ac:dyDescent="0.3">
      <c r="A95" s="32" t="s">
        <v>159</v>
      </c>
      <c r="B95" s="39" t="str">
        <f>_xll.qlEstr(B94)</f>
        <v>欣[test_swap.xlsx]OvernightIndexedSwap!R95C2Estr,A</v>
      </c>
      <c r="C95" s="17" t="str">
        <f>_xll.qlEstr(C94)</f>
        <v>欣[test_swap.xlsx]OvernightIndexedSwap!R95C3Estr,A</v>
      </c>
    </row>
    <row r="96" spans="1:3" x14ac:dyDescent="0.3">
      <c r="A96" s="31" t="s">
        <v>67</v>
      </c>
      <c r="B96" s="38">
        <v>0</v>
      </c>
      <c r="C96" s="15">
        <v>3.0000000000000001E-3</v>
      </c>
    </row>
    <row r="97" spans="1:3" x14ac:dyDescent="0.3">
      <c r="A97" s="31" t="s">
        <v>137</v>
      </c>
      <c r="B97" s="38">
        <v>0</v>
      </c>
      <c r="C97" s="15">
        <v>1</v>
      </c>
    </row>
    <row r="98" spans="1:3" x14ac:dyDescent="0.3">
      <c r="A98" s="31" t="s">
        <v>138</v>
      </c>
      <c r="B98" s="38" t="s">
        <v>75</v>
      </c>
      <c r="C98" s="15" t="s">
        <v>82</v>
      </c>
    </row>
    <row r="99" spans="1:3" x14ac:dyDescent="0.3">
      <c r="A99" s="31" t="s">
        <v>139</v>
      </c>
      <c r="B99" s="38" t="s">
        <v>299</v>
      </c>
      <c r="C99" s="15" t="str">
        <f>_xll.qlCalendar("TARGET")</f>
        <v>TARGET</v>
      </c>
    </row>
    <row r="100" spans="1:3" x14ac:dyDescent="0.3">
      <c r="A100" s="31" t="s">
        <v>140</v>
      </c>
      <c r="B100" s="38"/>
      <c r="C100" s="15" t="b">
        <v>1</v>
      </c>
    </row>
    <row r="101" spans="1:3" x14ac:dyDescent="0.3">
      <c r="A101" s="31" t="s">
        <v>141</v>
      </c>
      <c r="B101" s="38"/>
      <c r="C101" s="15" t="s">
        <v>146</v>
      </c>
    </row>
    <row r="102" spans="1:3" x14ac:dyDescent="0.3">
      <c r="A102" s="31" t="s">
        <v>142</v>
      </c>
      <c r="B102" s="38"/>
      <c r="C102" s="15">
        <v>1</v>
      </c>
    </row>
    <row r="103" spans="1:3" x14ac:dyDescent="0.3">
      <c r="A103" s="31" t="s">
        <v>143</v>
      </c>
      <c r="B103" s="38"/>
      <c r="C103" s="15">
        <v>1</v>
      </c>
    </row>
    <row r="104" spans="1:3" x14ac:dyDescent="0.3">
      <c r="A104" s="31" t="s">
        <v>144</v>
      </c>
      <c r="B104" s="38"/>
      <c r="C104" s="15" t="b">
        <v>1</v>
      </c>
    </row>
    <row r="105" spans="1:3" x14ac:dyDescent="0.3">
      <c r="A105" s="18" t="s">
        <v>160</v>
      </c>
      <c r="B105" s="39" t="str">
        <f>_xll.qlOvernightIndexedSwap2(B73,B74:B76,B82,B83,B84,B85:B87,B93,B95,B96,B97,B98,B99)</f>
        <v>欣[test_swap.xlsx]OvernightIndexedSwap!R105C2OvernightIndexedSwap,A</v>
      </c>
      <c r="C105" s="17" t="str">
        <f>_xll.qlOvernightIndexedSwap2(C73,C74:C76,C82,C83,C84,C85:C87,C93,C95,C96,C97,C98,C99,C100,C101,C102,C103,C104)</f>
        <v>欣[test_swap.xlsx]OvernightIndexedSwap!R105C3OvernightIndexedSwap,A</v>
      </c>
    </row>
    <row r="106" spans="1:3" x14ac:dyDescent="0.3">
      <c r="A106" s="14" t="s">
        <v>22</v>
      </c>
      <c r="B106" s="38" t="str">
        <f>_xll.qlFlatForward($B$2,0.03,"actual365fixed")</f>
        <v>欣[test_swap.xlsx]OvernightIndexedSwap!R106C2YieldTermStructureHandle,A</v>
      </c>
      <c r="C106" s="15" t="str">
        <f>_xll.qlFlatForward($B$2,0.03,"actual365fixed")</f>
        <v>欣[test_swap.xlsx]OvernightIndexedSwap!R106C3YieldTermStructureHandle,A</v>
      </c>
    </row>
    <row r="107" spans="1:3" x14ac:dyDescent="0.3">
      <c r="A107" s="28" t="s">
        <v>21</v>
      </c>
      <c r="B107" s="38" t="str">
        <f>_xll.qlDiscountingSwapEngine(B106,FALSE)</f>
        <v>Error in arg 1 'discount_curve': Cannot convert '欣[test_swap.xlsx]OvernightIndexedSwap!R106C2YieldTermStructureHandle,A': Expected cache string</v>
      </c>
      <c r="C107" s="15" t="str">
        <f>_xll.qlDiscountingSwapEngine(C106,FALSE)</f>
        <v>Error in arg 1 'discount_curve': Cannot convert '欣[test_swap.xlsx]OvernightIndexedSwap!R106C3YieldTermStructureHandle,A': Expected cache string</v>
      </c>
    </row>
    <row r="108" spans="1:3" x14ac:dyDescent="0.3">
      <c r="A108" s="47" t="s">
        <v>296</v>
      </c>
      <c r="B108" s="58" t="str">
        <f>_xll.qlInstrumentSetPricingEngine(B105,B107)</f>
        <v>Error in arg 1 'instrument': Cannot convert '欣[test_swap.xlsx]OvernightIndexedSwap!R105C2OvernightIndexedSwap,A': Expected cache string</v>
      </c>
      <c r="C108" s="24" t="str">
        <f>_xll.qlInstrumentSetPricingEngine(C105,C107)</f>
        <v>Error in arg 1 'instrument': Cannot convert '欣[test_swap.xlsx]OvernightIndexedSwap!R105C3OvernightIndexedSwap,A': Expected cache string</v>
      </c>
    </row>
    <row r="109" spans="1:3" x14ac:dyDescent="0.3">
      <c r="A109" s="28" t="s">
        <v>17</v>
      </c>
      <c r="B109" s="38">
        <f>_xll.qlSwapNumberOfLegs(B105)</f>
        <v>2</v>
      </c>
      <c r="C109" s="15">
        <f>_xll.qlSwapNumberOfLegs(C105)</f>
        <v>2</v>
      </c>
    </row>
    <row r="110" spans="1:3" x14ac:dyDescent="0.3">
      <c r="A110" s="23" t="s">
        <v>18</v>
      </c>
      <c r="B110" s="43">
        <f>_xll.qlSwapStartDate(B105)</f>
        <v>46030</v>
      </c>
      <c r="C110" s="25">
        <f>_xll.qlSwapStartDate(C105)</f>
        <v>46030</v>
      </c>
    </row>
    <row r="111" spans="1:3" x14ac:dyDescent="0.3">
      <c r="A111" s="28" t="s">
        <v>19</v>
      </c>
      <c r="B111" s="37">
        <f>_xll.qlSwapMaturityDate(B105)</f>
        <v>47126</v>
      </c>
      <c r="C111" s="16">
        <f>_xll.qlSwapMaturityDate(C105)</f>
        <v>47126</v>
      </c>
    </row>
    <row r="112" spans="1:3" x14ac:dyDescent="0.3">
      <c r="A112" s="23" t="s">
        <v>219</v>
      </c>
      <c r="B112" s="42" t="str">
        <f>_xll.qlSwapLeg(B105,1)</f>
        <v>欣[test_swap.xlsx]OvernightIndexedSwap!R112C2CashFlow,A</v>
      </c>
      <c r="C112" s="24" t="str">
        <f>_xll.qlSwapLeg(C105,1)</f>
        <v>欣[test_swap.xlsx]OvernightIndexedSwap!R112C3CashFlow,A</v>
      </c>
    </row>
    <row r="113" spans="1:3" x14ac:dyDescent="0.3">
      <c r="A113" s="28" t="s">
        <v>220</v>
      </c>
      <c r="B113" s="38" t="str">
        <f>_xll.qlSwapLegNPV(B105,1,B108)</f>
        <v>Error in arg 1 'swap': Cannot convert '欣[test_swap.xlsx]OvernightIndexedSwap!R105C2OvernightIndexedSwap,A': Expected cache string</v>
      </c>
      <c r="C113" s="15" t="str">
        <f>_xll.qlSwapLegNPV(C105,1,C108)</f>
        <v>Error in arg 1 'swap': Cannot convert '欣[test_swap.xlsx]OvernightIndexedSwap!R105C3OvernightIndexedSwap,A': Expected cache string</v>
      </c>
    </row>
    <row r="114" spans="1:3" x14ac:dyDescent="0.3">
      <c r="A114" s="23" t="s">
        <v>221</v>
      </c>
      <c r="B114" s="42" t="b">
        <f>B108=_xll.qlSwapLegBPS(B105,1,)</f>
        <v>0</v>
      </c>
      <c r="C114" s="24" t="b">
        <f>C108=_xll.qlSwapLegBPS(C105,1,)</f>
        <v>0</v>
      </c>
    </row>
    <row r="115" spans="1:3" x14ac:dyDescent="0.3">
      <c r="A115" s="28" t="s">
        <v>222</v>
      </c>
      <c r="B115" s="38" t="str">
        <f>_xll.qlSwapStartDiscounts(B105,1,B108)</f>
        <v>Error in arg 1 'swap': Cannot convert '欣[test_swap.xlsx]OvernightIndexedSwap!R105C2OvernightIndexedSwap,A': Expected cache string</v>
      </c>
      <c r="C115" s="15" t="str">
        <f>_xll.qlSwapStartDiscounts(C105,1,C108)</f>
        <v>Error in arg 1 'swap': Cannot convert '欣[test_swap.xlsx]OvernightIndexedSwap!R105C3OvernightIndexedSwap,A': Expected cache string</v>
      </c>
    </row>
    <row r="116" spans="1:3" x14ac:dyDescent="0.3">
      <c r="A116" s="23" t="s">
        <v>223</v>
      </c>
      <c r="B116" s="42" t="str">
        <f>_xll.qlSwapEndDiscounts(B105,1,B108)</f>
        <v>Error in arg 1 'swap': Cannot convert '欣[test_swap.xlsx]OvernightIndexedSwap!R105C2OvernightIndexedSwap,A': Expected cache string</v>
      </c>
      <c r="C116" s="24" t="str">
        <f>_xll.qlSwapEndDiscounts(C105,1,C108)</f>
        <v>Error in arg 1 'swap': Cannot convert '欣[test_swap.xlsx]OvernightIndexedSwap!R105C3OvernightIndexedSwap,A': Expected cache string</v>
      </c>
    </row>
    <row r="117" spans="1:3" x14ac:dyDescent="0.3">
      <c r="A117" s="28" t="s">
        <v>20</v>
      </c>
      <c r="B117" s="38" t="str">
        <f>_xll.qlSwapNpvDateDiscount(B105,B108)</f>
        <v>Error in arg 1 'swap': Cannot convert '欣[test_swap.xlsx]OvernightIndexedSwap!R105C2OvernightIndexedSwap,A': Expected cache string</v>
      </c>
      <c r="C117" s="15" t="str">
        <f>_xll.qlSwapNpvDateDiscount(C105,C108)</f>
        <v>Error in arg 1 'swap': Cannot convert '欣[test_swap.xlsx]OvernightIndexedSwap!R105C3OvernightIndexedSwap,A': Expected cache string</v>
      </c>
    </row>
    <row r="118" spans="1:3" x14ac:dyDescent="0.3">
      <c r="A118" s="44" t="s">
        <v>218</v>
      </c>
      <c r="B118" s="42" t="b">
        <f>_xll.qlSwapPayer(B105,0)</f>
        <v>1</v>
      </c>
      <c r="C118" s="24" t="b">
        <f>_xll.qlSwapPayer(C105,0)</f>
        <v>1</v>
      </c>
    </row>
    <row r="119" spans="1:3" x14ac:dyDescent="0.3">
      <c r="A119" s="28" t="s">
        <v>147</v>
      </c>
      <c r="B119" s="38" t="str">
        <f>_xll.qlOvernightIndexedSwapOvernightLegBPS(B105,B108)</f>
        <v>Error in arg 1 'swap': Cannot convert '欣[test_swap.xlsx]OvernightIndexedSwap!R105C2OvernightIndexedSwap,A': Expected cache string</v>
      </c>
      <c r="C119" s="15" t="str">
        <f>_xll.qlOvernightIndexedSwapOvernightLegBPS(C105,C108)</f>
        <v>Error in arg 1 'swap': Cannot convert '欣[test_swap.xlsx]OvernightIndexedSwap!R105C3OvernightIndexedSwap,A': Expected cache string</v>
      </c>
    </row>
    <row r="120" spans="1:3" x14ac:dyDescent="0.3">
      <c r="A120" s="23" t="s">
        <v>148</v>
      </c>
      <c r="B120" s="42" t="str">
        <f>_xll.qlOvernightIndexedSwapOvernightLegNPV(B105,B108)</f>
        <v>Error in arg 1 'swap': Cannot convert '欣[test_swap.xlsx]OvernightIndexedSwap!R105C2OvernightIndexedSwap,A': Expected cache string</v>
      </c>
      <c r="C120" s="24" t="str">
        <f>_xll.qlOvernightIndexedSwapOvernightLegNPV(C105,C108)</f>
        <v>Error in arg 1 'swap': Cannot convert '欣[test_swap.xlsx]OvernightIndexedSwap!R105C3OvernightIndexedSwap,A': Expected cache string</v>
      </c>
    </row>
    <row r="121" spans="1:3" x14ac:dyDescent="0.3">
      <c r="A121" s="28" t="s">
        <v>149</v>
      </c>
      <c r="B121" s="38" t="str">
        <f>_xll.qlOvernightIndexedSwapPaymentFrequency(B105)</f>
        <v>ANNUAL</v>
      </c>
      <c r="C121" s="15" t="str">
        <f>_xll.qlOvernightIndexedSwapPaymentFrequency(C105)</f>
        <v>ANNUAL</v>
      </c>
    </row>
    <row r="122" spans="1:3" x14ac:dyDescent="0.3">
      <c r="A122" s="23" t="s">
        <v>150</v>
      </c>
      <c r="B122" s="42" t="str">
        <f>_xll.qlOvernightIndexedSwapOvernightIndex(B105)</f>
        <v>欣[test_swap.xlsx]OvernightIndexedSwap!R122C2OvernightIndex,A</v>
      </c>
      <c r="C122" s="24" t="str">
        <f>_xll.qlOvernightIndexedSwapOvernightIndex(C105)</f>
        <v>欣[test_swap.xlsx]OvernightIndexedSwap!R122C3OvernightIndex,A</v>
      </c>
    </row>
    <row r="123" spans="1:3" x14ac:dyDescent="0.3">
      <c r="A123" s="28" t="s">
        <v>151</v>
      </c>
      <c r="B123" s="38" t="str">
        <f>_xll.qlOvernightIndexedSwapOvernightLeg(B105)</f>
        <v>欣[test_swap.xlsx]OvernightIndexedSwap!R123C2CashFlow,A</v>
      </c>
      <c r="C123" s="15" t="str">
        <f>_xll.qlOvernightIndexedSwapOvernightLeg(C105)</f>
        <v>欣[test_swap.xlsx]OvernightIndexedSwap!R123C3CashFlow,A</v>
      </c>
    </row>
    <row r="124" spans="1:3" x14ac:dyDescent="0.3">
      <c r="A124" s="23" t="s">
        <v>152</v>
      </c>
      <c r="B124" s="42" t="str">
        <f>_xll.qlOvernightIndexedSwapAveragingMethod(B105)</f>
        <v>COMPOUND</v>
      </c>
      <c r="C124" s="24" t="str">
        <f>_xll.qlOvernightIndexedSwapAveragingMethod(C105)</f>
        <v>COMPOUND</v>
      </c>
    </row>
    <row r="125" spans="1:3" x14ac:dyDescent="0.3">
      <c r="A125" s="28" t="s">
        <v>153</v>
      </c>
      <c r="B125" s="38">
        <f>_xll.qlOvernightIndexedSwapLookbackDays(B105)</f>
        <v>2147483647</v>
      </c>
      <c r="C125" s="15">
        <f>_xll.qlOvernightIndexedSwapLookbackDays(C105)</f>
        <v>1</v>
      </c>
    </row>
    <row r="126" spans="1:3" x14ac:dyDescent="0.3">
      <c r="A126" s="23" t="s">
        <v>154</v>
      </c>
      <c r="B126" s="42">
        <f>_xll.qlOvernightIndexedSwapLockoutDays(B105)</f>
        <v>0</v>
      </c>
      <c r="C126" s="24">
        <f>_xll.qlOvernightIndexedSwapLockoutDays(C105)</f>
        <v>1</v>
      </c>
    </row>
    <row r="127" spans="1:3" x14ac:dyDescent="0.3">
      <c r="A127" s="28" t="s">
        <v>155</v>
      </c>
      <c r="B127" s="38" t="b">
        <f>_xll.qlOvernightIndexedSwapApplyObservationShift(B105)</f>
        <v>0</v>
      </c>
      <c r="C127" s="15" t="b">
        <f>_xll.qlOvernightIndexedSwapApplyObservationShift(C105)</f>
        <v>1</v>
      </c>
    </row>
    <row r="128" spans="1:3" x14ac:dyDescent="0.3">
      <c r="A128" s="23" t="s">
        <v>275</v>
      </c>
      <c r="B128" s="42" t="str">
        <f>_xll.qlFixedVsFloatingSwapType(B105)</f>
        <v>PAYER</v>
      </c>
      <c r="C128" s="24" t="str">
        <f>_xll.qlFixedVsFloatingSwapType(C105)</f>
        <v>PAYER</v>
      </c>
    </row>
    <row r="129" spans="1:3" x14ac:dyDescent="0.3">
      <c r="A129" s="28" t="s">
        <v>276</v>
      </c>
      <c r="B129" s="38">
        <f>_xll.qlFixedVsFloatingSwapNominal(B105)</f>
        <v>100</v>
      </c>
      <c r="C129" s="15">
        <f>_xll.qlFixedVsFloatingSwapNominal(C105)</f>
        <v>100</v>
      </c>
    </row>
    <row r="130" spans="1:3" x14ac:dyDescent="0.3">
      <c r="A130" s="44" t="s">
        <v>277</v>
      </c>
      <c r="B130" s="42">
        <f>_xll.qlFixedVsFloatingSwapNominals(B105)</f>
        <v>100</v>
      </c>
      <c r="C130" s="24">
        <f>_xll.qlFixedVsFloatingSwapNominals(C105)</f>
        <v>100</v>
      </c>
    </row>
    <row r="131" spans="1:3" x14ac:dyDescent="0.3">
      <c r="A131" s="46" t="s">
        <v>278</v>
      </c>
      <c r="B131" s="38">
        <f>_xll.qlFixedVsFloatingSwapFixedNominals(B105)</f>
        <v>100</v>
      </c>
      <c r="C131" s="15">
        <f>_xll.qlFixedVsFloatingSwapFixedNominals(C105)</f>
        <v>100</v>
      </c>
    </row>
    <row r="132" spans="1:3" x14ac:dyDescent="0.3">
      <c r="A132" s="44" t="s">
        <v>279</v>
      </c>
      <c r="B132" s="42" t="str">
        <f>_xll.qlFixedVsFloatingSwapFixedSchedule(B105)</f>
        <v>欣[test_swap.xlsx]OvernightIndexedSwap!R132C2Schedule,A</v>
      </c>
      <c r="C132" s="24" t="str">
        <f>_xll.qlFixedVsFloatingSwapFixedSchedule(C105)</f>
        <v>欣[test_swap.xlsx]OvernightIndexedSwap!R132C3Schedule,A</v>
      </c>
    </row>
    <row r="133" spans="1:3" x14ac:dyDescent="0.3">
      <c r="A133" s="46" t="s">
        <v>280</v>
      </c>
      <c r="B133" s="38">
        <f>_xll.qlFixedVsFloatingSwapFixedRate(B105)</f>
        <v>0.03</v>
      </c>
      <c r="C133" s="15">
        <f>_xll.qlFixedVsFloatingSwapFixedRate(C105)</f>
        <v>0.03</v>
      </c>
    </row>
    <row r="134" spans="1:3" x14ac:dyDescent="0.3">
      <c r="A134" s="44" t="s">
        <v>281</v>
      </c>
      <c r="B134" s="42" t="str">
        <f>_xll.qlFixedVsFloatingSwapFixedDayCount(B105)</f>
        <v>Actual/365 (Fixed)</v>
      </c>
      <c r="C134" s="24" t="str">
        <f>_xll.qlFixedVsFloatingSwapFixedDayCount(C105)</f>
        <v>Actual/365 (Fixed)</v>
      </c>
    </row>
    <row r="135" spans="1:3" x14ac:dyDescent="0.3">
      <c r="A135" s="46" t="s">
        <v>282</v>
      </c>
      <c r="B135" s="38">
        <f>_xll.qlFixedVsFloatingSwapFloatingNominals(B105)</f>
        <v>100</v>
      </c>
      <c r="C135" s="15">
        <f>_xll.qlFixedVsFloatingSwapFloatingNominals(C105)</f>
        <v>100</v>
      </c>
    </row>
    <row r="136" spans="1:3" x14ac:dyDescent="0.3">
      <c r="A136" s="23" t="s">
        <v>284</v>
      </c>
      <c r="B136" s="42" t="str">
        <f>_xll.qlFixedVsFloatingSwapFloatingSchedule(B105)</f>
        <v>欣[test_swap.xlsx]OvernightIndexedSwap!R136C2Schedule,A</v>
      </c>
      <c r="C136" s="24" t="str">
        <f>_xll.qlFixedVsFloatingSwapFloatingSchedule(C105)</f>
        <v>欣[test_swap.xlsx]OvernightIndexedSwap!R136C3Schedule,A</v>
      </c>
    </row>
    <row r="137" spans="1:3" x14ac:dyDescent="0.3">
      <c r="A137" s="28" t="s">
        <v>283</v>
      </c>
      <c r="B137" s="38" t="str">
        <f>_xll.qlFixedVsFloatingSwapIborIndex(B105)</f>
        <v>欣[test_swap.xlsx]OvernightIndexedSwap!R137C2IborIndex,A</v>
      </c>
      <c r="C137" s="15" t="str">
        <f>_xll.qlFixedVsFloatingSwapIborIndex(C105)</f>
        <v>欣[test_swap.xlsx]OvernightIndexedSwap!R137C3IborIndex,A</v>
      </c>
    </row>
    <row r="138" spans="1:3" x14ac:dyDescent="0.3">
      <c r="A138" s="23" t="s">
        <v>285</v>
      </c>
      <c r="B138" s="42">
        <f>_xll.qlFixedVsFloatingSwapSpread(B105)</f>
        <v>0</v>
      </c>
      <c r="C138" s="24">
        <f>_xll.qlFixedVsFloatingSwapSpread(C105)</f>
        <v>3.0000000000000001E-3</v>
      </c>
    </row>
    <row r="139" spans="1:3" x14ac:dyDescent="0.3">
      <c r="A139" s="28" t="s">
        <v>286</v>
      </c>
      <c r="B139" s="45">
        <f xml:space="preserve"> FIND("RuntimeError: RuntimeError: no day counter implementation provided",_xll.qlFixedVsFloatingSwapFloatingDayCount(B105))</f>
        <v>1</v>
      </c>
      <c r="C139" s="27">
        <f xml:space="preserve"> FIND("RuntimeError: RuntimeError: no day counter implementation provided",_xll.qlFixedVsFloatingSwapFloatingDayCount(C105))</f>
        <v>1</v>
      </c>
    </row>
    <row r="140" spans="1:3" x14ac:dyDescent="0.3">
      <c r="A140" s="23" t="s">
        <v>287</v>
      </c>
      <c r="B140" s="42" t="str">
        <f>_xll.qlFixedVsFloatingSwapPaymentConvention(B105)</f>
        <v>FOLLOWING</v>
      </c>
      <c r="C140" s="24" t="str">
        <f>_xll.qlFixedVsFloatingSwapPaymentConvention(C105)</f>
        <v>FOLLOWING</v>
      </c>
    </row>
    <row r="141" spans="1:3" x14ac:dyDescent="0.3">
      <c r="A141" s="28" t="s">
        <v>288</v>
      </c>
      <c r="B141" s="38" t="str">
        <f>_xll.qlFixedVsFloatingSwapFixedLeg(B105)</f>
        <v>欣[test_swap.xlsx]OvernightIndexedSwap!R141C2CashFlow,A</v>
      </c>
      <c r="C141" s="15" t="str">
        <f>_xll.qlFixedVsFloatingSwapFixedLeg(C105)</f>
        <v>欣[test_swap.xlsx]OvernightIndexedSwap!R141C3CashFlow,A</v>
      </c>
    </row>
    <row r="142" spans="1:3" x14ac:dyDescent="0.3">
      <c r="A142" s="23" t="s">
        <v>289</v>
      </c>
      <c r="B142" s="42" t="str">
        <f>_xll.qlFixedVsFloatingSwapFloatingLeg(B105)</f>
        <v>欣[test_swap.xlsx]OvernightIndexedSwap!R142C2CashFlow,A</v>
      </c>
      <c r="C142" s="24" t="str">
        <f>_xll.qlFixedVsFloatingSwapFloatingLeg(C105)</f>
        <v>欣[test_swap.xlsx]OvernightIndexedSwap!R142C3CashFlow,A</v>
      </c>
    </row>
    <row r="143" spans="1:3" x14ac:dyDescent="0.3">
      <c r="A143" s="28" t="s">
        <v>290</v>
      </c>
      <c r="B143" s="38" t="str">
        <f>_xll.qlFixedVsFloatingSwapFixedLegBPS(B105,B108)</f>
        <v>Error in arg 1 'swap': Cannot convert '欣[test_swap.xlsx]OvernightIndexedSwap!R105C2OvernightIndexedSwap,A': Expected cache string</v>
      </c>
      <c r="C143" s="15" t="str">
        <f>_xll.qlFixedVsFloatingSwapFixedLegBPS(C105,C108)</f>
        <v>Error in arg 1 'swap': Cannot convert '欣[test_swap.xlsx]OvernightIndexedSwap!R105C3OvernightIndexedSwap,A': Expected cache string</v>
      </c>
    </row>
    <row r="144" spans="1:3" x14ac:dyDescent="0.3">
      <c r="A144" s="23" t="s">
        <v>291</v>
      </c>
      <c r="B144" s="42" t="str">
        <f>_xll.qlFixedVsFloatingSwapFixedLegNPV(B105,B108)</f>
        <v>Error in arg 1 'swap': Cannot convert '欣[test_swap.xlsx]OvernightIndexedSwap!R105C2OvernightIndexedSwap,A': Expected cache string</v>
      </c>
      <c r="C144" s="24" t="str">
        <f>_xll.qlFixedVsFloatingSwapFixedLegNPV(C105,C108)</f>
        <v>Error in arg 1 'swap': Cannot convert '欣[test_swap.xlsx]OvernightIndexedSwap!R105C3OvernightIndexedSwap,A': Expected cache string</v>
      </c>
    </row>
    <row r="145" spans="1:3" x14ac:dyDescent="0.3">
      <c r="A145" s="28" t="s">
        <v>292</v>
      </c>
      <c r="B145" s="38" t="str">
        <f>_xll.qlFixedVsFloatingSwapFairRate(B105,B108)</f>
        <v>Error in arg 1 'swap': Cannot convert '欣[test_swap.xlsx]OvernightIndexedSwap!R105C2OvernightIndexedSwap,A': Expected cache string</v>
      </c>
      <c r="C145" s="15" t="str">
        <f>_xll.qlFixedVsFloatingSwapFairRate(C105,C108)</f>
        <v>Error in arg 1 'swap': Cannot convert '欣[test_swap.xlsx]OvernightIndexedSwap!R105C3OvernightIndexedSwap,A': Expected cache string</v>
      </c>
    </row>
    <row r="146" spans="1:3" x14ac:dyDescent="0.3">
      <c r="A146" s="23" t="s">
        <v>293</v>
      </c>
      <c r="B146" s="42" t="str">
        <f>_xll.qlFixedVsFloatingSwapFloatingLegBPS(B105,B108)</f>
        <v>Error in arg 1 'swap': Cannot convert '欣[test_swap.xlsx]OvernightIndexedSwap!R105C2OvernightIndexedSwap,A': Expected cache string</v>
      </c>
      <c r="C146" s="24" t="str">
        <f>_xll.qlFixedVsFloatingSwapFloatingLegBPS(C105,C108)</f>
        <v>Error in arg 1 'swap': Cannot convert '欣[test_swap.xlsx]OvernightIndexedSwap!R105C3OvernightIndexedSwap,A': Expected cache string</v>
      </c>
    </row>
    <row r="147" spans="1:3" x14ac:dyDescent="0.3">
      <c r="A147" s="28" t="s">
        <v>294</v>
      </c>
      <c r="B147" s="38" t="str">
        <f>_xll.qlFixedVsFloatingSwapFloatingLegNPV(B105,B108)</f>
        <v>Error in arg 1 'swap': Cannot convert '欣[test_swap.xlsx]OvernightIndexedSwap!R105C2OvernightIndexedSwap,A': Expected cache string</v>
      </c>
      <c r="C147" s="15" t="str">
        <f>_xll.qlFixedVsFloatingSwapFloatingLegNPV(C105,C108)</f>
        <v>Error in arg 1 'swap': Cannot convert '欣[test_swap.xlsx]OvernightIndexedSwap!R105C3OvernightIndexedSwap,A': Expected cache string</v>
      </c>
    </row>
    <row r="148" spans="1:3" x14ac:dyDescent="0.3">
      <c r="A148" s="23" t="s">
        <v>295</v>
      </c>
      <c r="B148" s="42" t="str">
        <f>_xll.qlFixedVsFloatingSwapFairSpread(B105,B108)</f>
        <v>Error in arg 1 'swap': Cannot convert '欣[test_swap.xlsx]OvernightIndexedSwap!R105C2OvernightIndexedSwap,A': Expected cache string</v>
      </c>
      <c r="C148" s="24" t="str">
        <f>_xll.qlFixedVsFloatingSwapFairSpread(C105,C108)</f>
        <v>Error in arg 1 'swap': Cannot convert '欣[test_swap.xlsx]OvernightIndexedSwap!R105C3OvernightIndexedSwap,A': Expected cache string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06027-B485-4F7A-BA50-4D45D37DD971}">
  <dimension ref="A1:C8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7.88671875" customWidth="1"/>
    <col min="2" max="2" width="56.5546875" style="5" customWidth="1"/>
    <col min="3" max="3" width="57.5546875" style="5" customWidth="1"/>
  </cols>
  <sheetData>
    <row r="1" spans="1:3" x14ac:dyDescent="0.3">
      <c r="A1" s="30" t="s">
        <v>13</v>
      </c>
      <c r="B1" s="13">
        <v>45665</v>
      </c>
    </row>
    <row r="2" spans="1:3" x14ac:dyDescent="0.3">
      <c r="A2" s="32" t="s">
        <v>14</v>
      </c>
      <c r="B2" s="35">
        <f>_xll.qlSettingsSetEvaluationDate(B1)</f>
        <v>45665</v>
      </c>
    </row>
    <row r="4" spans="1:3" x14ac:dyDescent="0.3">
      <c r="A4" s="30" t="s">
        <v>224</v>
      </c>
      <c r="B4" s="36" t="s">
        <v>164</v>
      </c>
      <c r="C4" s="22" t="s">
        <v>164</v>
      </c>
    </row>
    <row r="5" spans="1:3" x14ac:dyDescent="0.3">
      <c r="A5" s="12" t="s">
        <v>22</v>
      </c>
      <c r="B5" s="36" t="str">
        <f>_xll.qlFlatForward(B2,0.03,"actual365fixed")</f>
        <v>欣[test_swap.xlsx]MakeOIS!R5C2YieldTermStructureHandle,A</v>
      </c>
      <c r="C5" s="22" t="str">
        <f>_xll.qlFlatForward(B2,0.03,"actual365fixed")</f>
        <v>欣[test_swap.xlsx]MakeOIS!R5C3YieldTermStructureHandle,A</v>
      </c>
    </row>
    <row r="6" spans="1:3" x14ac:dyDescent="0.3">
      <c r="A6" s="32" t="s">
        <v>159</v>
      </c>
      <c r="B6" s="39" t="str">
        <f>_xll.qlEstr(B5)</f>
        <v>欣[test_swap.xlsx]MakeOIS!R6C2Estr,A</v>
      </c>
      <c r="C6" s="17" t="str">
        <f>_xll.qlEstr(C5)</f>
        <v>欣[test_swap.xlsx]MakeOIS!R6C3Estr,A</v>
      </c>
    </row>
    <row r="7" spans="1:3" x14ac:dyDescent="0.3">
      <c r="A7" s="31" t="s">
        <v>63</v>
      </c>
      <c r="B7" s="38"/>
      <c r="C7" s="15">
        <v>0.03</v>
      </c>
    </row>
    <row r="8" spans="1:3" x14ac:dyDescent="0.3">
      <c r="A8" s="31" t="s">
        <v>257</v>
      </c>
      <c r="B8" s="38"/>
      <c r="C8" s="15" t="s">
        <v>227</v>
      </c>
    </row>
    <row r="9" spans="1:3" x14ac:dyDescent="0.3">
      <c r="A9" s="31" t="s">
        <v>228</v>
      </c>
      <c r="B9" s="38"/>
      <c r="C9" s="15" t="b">
        <v>1</v>
      </c>
    </row>
    <row r="10" spans="1:3" x14ac:dyDescent="0.3">
      <c r="A10" s="31" t="s">
        <v>229</v>
      </c>
      <c r="B10" s="38"/>
      <c r="C10" s="15" t="s">
        <v>102</v>
      </c>
    </row>
    <row r="11" spans="1:3" x14ac:dyDescent="0.3">
      <c r="A11" s="31" t="s">
        <v>61</v>
      </c>
      <c r="B11" s="38"/>
      <c r="C11" s="15">
        <v>100</v>
      </c>
    </row>
    <row r="12" spans="1:3" x14ac:dyDescent="0.3">
      <c r="A12" s="31" t="s">
        <v>108</v>
      </c>
      <c r="B12" s="38"/>
      <c r="C12" s="15"/>
    </row>
    <row r="13" spans="1:3" x14ac:dyDescent="0.3">
      <c r="A13" s="31" t="s">
        <v>230</v>
      </c>
      <c r="B13" s="38"/>
      <c r="C13" s="16">
        <v>45667</v>
      </c>
    </row>
    <row r="14" spans="1:3" x14ac:dyDescent="0.3">
      <c r="A14" s="31" t="s">
        <v>231</v>
      </c>
      <c r="B14" s="38"/>
      <c r="C14" s="16">
        <v>46762</v>
      </c>
    </row>
    <row r="15" spans="1:3" x14ac:dyDescent="0.3">
      <c r="A15" s="31" t="s">
        <v>232</v>
      </c>
      <c r="B15" s="38"/>
      <c r="C15" s="15" t="s">
        <v>272</v>
      </c>
    </row>
    <row r="16" spans="1:3" x14ac:dyDescent="0.3">
      <c r="A16" s="31" t="s">
        <v>258</v>
      </c>
      <c r="B16" s="38"/>
      <c r="C16" s="15" t="s">
        <v>272</v>
      </c>
    </row>
    <row r="17" spans="1:3" x14ac:dyDescent="0.3">
      <c r="A17" s="31" t="s">
        <v>259</v>
      </c>
      <c r="B17" s="38"/>
      <c r="C17" s="15" t="s">
        <v>272</v>
      </c>
    </row>
    <row r="18" spans="1:3" x14ac:dyDescent="0.3">
      <c r="A18" s="31" t="s">
        <v>260</v>
      </c>
      <c r="B18" s="38"/>
      <c r="C18" s="15" t="s">
        <v>273</v>
      </c>
    </row>
    <row r="19" spans="1:3" x14ac:dyDescent="0.3">
      <c r="A19" s="31" t="s">
        <v>261</v>
      </c>
      <c r="B19" s="38"/>
      <c r="C19" s="15" t="s">
        <v>273</v>
      </c>
    </row>
    <row r="20" spans="1:3" x14ac:dyDescent="0.3">
      <c r="A20" s="31" t="s">
        <v>262</v>
      </c>
      <c r="B20" s="38"/>
      <c r="C20" s="15" t="s">
        <v>273</v>
      </c>
    </row>
    <row r="21" spans="1:3" x14ac:dyDescent="0.3">
      <c r="A21" s="31" t="s">
        <v>263</v>
      </c>
      <c r="B21" s="38"/>
      <c r="C21" s="15" t="s">
        <v>47</v>
      </c>
    </row>
    <row r="22" spans="1:3" x14ac:dyDescent="0.3">
      <c r="A22" s="31" t="s">
        <v>137</v>
      </c>
      <c r="B22" s="38"/>
      <c r="C22" s="15">
        <v>2</v>
      </c>
    </row>
    <row r="23" spans="1:3" x14ac:dyDescent="0.3">
      <c r="A23" s="31" t="s">
        <v>139</v>
      </c>
      <c r="B23" s="38"/>
      <c r="C23" s="15" t="str">
        <f>_xll.qlCalendar("TARGET")</f>
        <v>TARGET</v>
      </c>
    </row>
    <row r="24" spans="1:3" x14ac:dyDescent="0.3">
      <c r="A24" s="31" t="s">
        <v>109</v>
      </c>
      <c r="B24" s="38"/>
      <c r="C24" s="15" t="str">
        <f>_xll.qlCalendar("TARGET")</f>
        <v>TARGET</v>
      </c>
    </row>
    <row r="25" spans="1:3" x14ac:dyDescent="0.3">
      <c r="A25" s="31" t="s">
        <v>234</v>
      </c>
      <c r="B25" s="38"/>
      <c r="C25" s="15" t="str">
        <f>_xll.qlCalendar("TARGET")</f>
        <v>TARGET</v>
      </c>
    </row>
    <row r="26" spans="1:3" x14ac:dyDescent="0.3">
      <c r="A26" s="31" t="s">
        <v>264</v>
      </c>
      <c r="B26" s="38"/>
      <c r="C26" s="15" t="str">
        <f>_xll.qlCalendar("TARGET")</f>
        <v>TARGET</v>
      </c>
    </row>
    <row r="27" spans="1:3" x14ac:dyDescent="0.3">
      <c r="A27" s="31" t="s">
        <v>46</v>
      </c>
      <c r="B27" s="38"/>
      <c r="C27" s="15" t="s">
        <v>47</v>
      </c>
    </row>
    <row r="28" spans="1:3" x14ac:dyDescent="0.3">
      <c r="A28" s="31" t="s">
        <v>235</v>
      </c>
      <c r="B28" s="38"/>
      <c r="C28" s="15" t="s">
        <v>47</v>
      </c>
    </row>
    <row r="29" spans="1:3" x14ac:dyDescent="0.3">
      <c r="A29" s="31" t="s">
        <v>265</v>
      </c>
      <c r="B29" s="38"/>
      <c r="C29" s="15" t="s">
        <v>47</v>
      </c>
    </row>
    <row r="30" spans="1:3" x14ac:dyDescent="0.3">
      <c r="A30" s="31" t="s">
        <v>266</v>
      </c>
      <c r="B30" s="38"/>
      <c r="C30" s="15" t="s">
        <v>47</v>
      </c>
    </row>
    <row r="31" spans="1:3" x14ac:dyDescent="0.3">
      <c r="A31" s="31" t="s">
        <v>236</v>
      </c>
      <c r="B31" s="38"/>
      <c r="C31" s="15" t="s">
        <v>47</v>
      </c>
    </row>
    <row r="32" spans="1:3" x14ac:dyDescent="0.3">
      <c r="A32" s="31" t="s">
        <v>267</v>
      </c>
      <c r="B32" s="38"/>
      <c r="C32" s="15" t="s">
        <v>47</v>
      </c>
    </row>
    <row r="33" spans="1:3" x14ac:dyDescent="0.3">
      <c r="A33" s="31" t="s">
        <v>268</v>
      </c>
      <c r="B33" s="38"/>
      <c r="C33" s="15" t="b">
        <v>1</v>
      </c>
    </row>
    <row r="34" spans="1:3" x14ac:dyDescent="0.3">
      <c r="A34" s="31" t="s">
        <v>238</v>
      </c>
      <c r="B34" s="38"/>
      <c r="C34" s="15" t="b">
        <v>0</v>
      </c>
    </row>
    <row r="35" spans="1:3" x14ac:dyDescent="0.3">
      <c r="A35" s="31" t="s">
        <v>269</v>
      </c>
      <c r="B35" s="38"/>
      <c r="C35" s="15" t="b">
        <v>1</v>
      </c>
    </row>
    <row r="36" spans="1:3" x14ac:dyDescent="0.3">
      <c r="A36" s="31" t="s">
        <v>241</v>
      </c>
      <c r="B36" s="38"/>
      <c r="C36" s="15" t="s">
        <v>72</v>
      </c>
    </row>
    <row r="37" spans="1:3" x14ac:dyDescent="0.3">
      <c r="A37" s="31" t="s">
        <v>270</v>
      </c>
      <c r="B37" s="38"/>
      <c r="C37" s="15">
        <v>3.0000000000000001E-3</v>
      </c>
    </row>
    <row r="38" spans="1:3" x14ac:dyDescent="0.3">
      <c r="A38" s="31" t="s">
        <v>252</v>
      </c>
      <c r="B38" s="38"/>
      <c r="C38" s="15" t="str">
        <f>_xll.qlFlatForward(B2,0.03,"actual365fixed")</f>
        <v>欣[test_swap.xlsx]MakeOIS!R38C3YieldTermStructureHandle,A</v>
      </c>
    </row>
    <row r="39" spans="1:3" x14ac:dyDescent="0.3">
      <c r="A39" s="31" t="s">
        <v>140</v>
      </c>
      <c r="B39" s="38"/>
      <c r="C39" s="15" t="b">
        <v>1</v>
      </c>
    </row>
    <row r="40" spans="1:3" x14ac:dyDescent="0.3">
      <c r="A40" s="31" t="s">
        <v>141</v>
      </c>
      <c r="B40" s="38"/>
      <c r="C40" s="15" t="s">
        <v>146</v>
      </c>
    </row>
    <row r="41" spans="1:3" x14ac:dyDescent="0.3">
      <c r="A41" s="31" t="s">
        <v>142</v>
      </c>
      <c r="B41" s="38"/>
      <c r="C41" s="15">
        <v>0</v>
      </c>
    </row>
    <row r="42" spans="1:3" x14ac:dyDescent="0.3">
      <c r="A42" s="31" t="s">
        <v>143</v>
      </c>
      <c r="B42" s="38"/>
      <c r="C42" s="15">
        <v>2</v>
      </c>
    </row>
    <row r="43" spans="1:3" x14ac:dyDescent="0.3">
      <c r="A43" s="31" t="s">
        <v>253</v>
      </c>
      <c r="B43" s="38"/>
      <c r="C43" s="15" t="str">
        <f>_xll.qlDiscountingSwapEngine(C38,FALSE)</f>
        <v>Error in arg 1 'discount_curve': Cannot convert '欣[test_swap.xlsx]MakeOIS!R38C3YieldTermStructureHandle,A': Expected cache string</v>
      </c>
    </row>
    <row r="44" spans="1:3" x14ac:dyDescent="0.3">
      <c r="A44" s="18" t="s">
        <v>271</v>
      </c>
      <c r="B44" s="39" t="str">
        <f>_xll.qlMakeOIS(B4,B6)</f>
        <v>欣[test_swap.xlsx]MakeOIS!R44C2OvernightIndexedSwap,A</v>
      </c>
      <c r="C44" s="17" t="str">
        <f>_xll.qlMakeOIS(C4,C6,C7,C8,C9,C10,C11,,C13,C14,C15,C16,C17,C18,C19,C20,C21,C22,C23,C24,C25,C26,C27,C28,C29,C30,C31,C32,C33,C34,C35,C36,C37,C38,C39,C40,C41,C42,C43)</f>
        <v>Error in arg 2 'overnight_index': Cannot convert '欣[test_swap.xlsx]MakeOIS!R6C3Estr,A': Expected cache string</v>
      </c>
    </row>
    <row r="45" spans="1:3" x14ac:dyDescent="0.3">
      <c r="A45" s="14" t="s">
        <v>22</v>
      </c>
      <c r="B45" s="38" t="str">
        <f>_xll.qlFlatForward(B2,0.03,"actual365fixed")</f>
        <v>欣[test_swap.xlsx]MakeOIS!R45C2YieldTermStructureHandle,A</v>
      </c>
      <c r="C45" s="15"/>
    </row>
    <row r="46" spans="1:3" x14ac:dyDescent="0.3">
      <c r="A46" s="28" t="s">
        <v>21</v>
      </c>
      <c r="B46" s="38" t="str">
        <f>_xll.qlDiscountingSwapEngine(B45,FALSE)</f>
        <v>Error in arg 1 'discount_curve': Cannot convert '欣[test_swap.xlsx]MakeOIS!R45C2YieldTermStructureHandle,A': Expected cache string</v>
      </c>
      <c r="C46" s="15"/>
    </row>
    <row r="47" spans="1:3" x14ac:dyDescent="0.3">
      <c r="A47" s="47" t="s">
        <v>296</v>
      </c>
      <c r="B47" s="58" t="str">
        <f>_xll.qlInstrumentSetPricingEngine(B44,B46)</f>
        <v>Error in arg 1 'instrument': Cannot convert '欣[test_swap.xlsx]MakeOIS!R44C2OvernightIndexedSwap,A': Expected cache string</v>
      </c>
      <c r="C47" s="24"/>
    </row>
    <row r="48" spans="1:3" x14ac:dyDescent="0.3">
      <c r="A48" s="28" t="s">
        <v>17</v>
      </c>
      <c r="B48" s="38">
        <f>_xll.qlSwapNumberOfLegs(B44)</f>
        <v>2</v>
      </c>
      <c r="C48" s="15" t="str">
        <f>_xll.qlSwapNumberOfLegs(C44)</f>
        <v>Error in arg 1 'swap': Cannot convert 'Error in arg 2 'overnight_index': Cannot convert '欣[test_swap.xlsx]MakeOIS!R6C3Estr,A': Expected cache string': Expected cache string</v>
      </c>
    </row>
    <row r="49" spans="1:3" x14ac:dyDescent="0.3">
      <c r="A49" s="23" t="s">
        <v>18</v>
      </c>
      <c r="B49" s="43">
        <f>_xll.qlSwapStartDate(B44)</f>
        <v>45667</v>
      </c>
      <c r="C49" s="25" t="str">
        <f>_xll.qlSwapStartDate(C44)</f>
        <v>Error in arg 1 'swap': Cannot convert 'Error in arg 2 'overnight_index': Cannot convert '欣[test_swap.xlsx]MakeOIS!R6C3Estr,A': Expected cache string': Expected cache string</v>
      </c>
    </row>
    <row r="50" spans="1:3" x14ac:dyDescent="0.3">
      <c r="A50" s="46" t="s">
        <v>19</v>
      </c>
      <c r="B50" s="37">
        <f>_xll.qlSwapMaturityDate(B44)</f>
        <v>45757</v>
      </c>
      <c r="C50" s="16" t="str">
        <f>_xll.qlSwapMaturityDate(C44)</f>
        <v>Error in arg 1 'swap': Cannot convert 'Error in arg 2 'overnight_index': Cannot convert '欣[test_swap.xlsx]MakeOIS!R6C3Estr,A': Expected cache string': Expected cache string</v>
      </c>
    </row>
    <row r="51" spans="1:3" x14ac:dyDescent="0.3">
      <c r="A51" s="23" t="s">
        <v>219</v>
      </c>
      <c r="B51" s="42" t="str">
        <f>_xll.qlSwapLeg(B44,1)</f>
        <v>欣[test_swap.xlsx]MakeOIS!R51C2CashFlow,A</v>
      </c>
      <c r="C51" s="24" t="str">
        <f>_xll.qlSwapLeg(C44,1)</f>
        <v>Error in arg 1 'swap': Cannot convert 'Error in arg 2 'overnight_index': Cannot convert '欣[test_swap.xlsx]MakeOIS!R6C3Estr,A': Expected cache string': Expected cache string</v>
      </c>
    </row>
    <row r="52" spans="1:3" x14ac:dyDescent="0.3">
      <c r="A52" s="28" t="s">
        <v>220</v>
      </c>
      <c r="B52" s="38" t="str">
        <f>_xll.qlSwapLegNPV(B44,1,B47)</f>
        <v>Error in arg 1 'swap': Cannot convert '欣[test_swap.xlsx]MakeOIS!R44C2OvernightIndexedSwap,A': Expected cache string</v>
      </c>
      <c r="C52" s="15" t="str">
        <f>_xll.qlSwapLegNPV(C44,1)</f>
        <v>Error in arg 1 'swap': Cannot convert 'Error in arg 2 'overnight_index': Cannot convert '欣[test_swap.xlsx]MakeOIS!R6C3Estr,A': Expected cache string': Expected cache string</v>
      </c>
    </row>
    <row r="53" spans="1:3" x14ac:dyDescent="0.3">
      <c r="A53" s="23" t="s">
        <v>221</v>
      </c>
      <c r="B53" s="42" t="str">
        <f>_xll.qlSwapLegBPS(B44,1,B47)</f>
        <v>Error in arg 1 'swap': Cannot convert '欣[test_swap.xlsx]MakeOIS!R44C2OvernightIndexedSwap,A': Expected cache string</v>
      </c>
      <c r="C53" s="24" t="str">
        <f>_xll.qlSwapLegBPS(C44,1)</f>
        <v>Error in arg 1 'swap': Cannot convert 'Error in arg 2 'overnight_index': Cannot convert '欣[test_swap.xlsx]MakeOIS!R6C3Estr,A': Expected cache string': Expected cache string</v>
      </c>
    </row>
    <row r="54" spans="1:3" x14ac:dyDescent="0.3">
      <c r="A54" s="28" t="s">
        <v>222</v>
      </c>
      <c r="B54" s="38" t="str">
        <f>_xll.qlSwapStartDiscounts(B44,1,B47)</f>
        <v>Error in arg 1 'swap': Cannot convert '欣[test_swap.xlsx]MakeOIS!R44C2OvernightIndexedSwap,A': Expected cache string</v>
      </c>
      <c r="C54" s="15" t="str">
        <f>_xll.qlSwapStartDiscounts(C44,1)</f>
        <v>Error in arg 1 'swap': Cannot convert 'Error in arg 2 'overnight_index': Cannot convert '欣[test_swap.xlsx]MakeOIS!R6C3Estr,A': Expected cache string': Expected cache string</v>
      </c>
    </row>
    <row r="55" spans="1:3" x14ac:dyDescent="0.3">
      <c r="A55" s="23" t="s">
        <v>223</v>
      </c>
      <c r="B55" s="42" t="str">
        <f>_xll.qlSwapEndDiscounts(B44,1,B47)</f>
        <v>Error in arg 1 'swap': Cannot convert '欣[test_swap.xlsx]MakeOIS!R44C2OvernightIndexedSwap,A': Expected cache string</v>
      </c>
      <c r="C55" s="24" t="str">
        <f>_xll.qlSwapEndDiscounts(C44,1)</f>
        <v>Error in arg 1 'swap': Cannot convert 'Error in arg 2 'overnight_index': Cannot convert '欣[test_swap.xlsx]MakeOIS!R6C3Estr,A': Expected cache string': Expected cache string</v>
      </c>
    </row>
    <row r="56" spans="1:3" x14ac:dyDescent="0.3">
      <c r="A56" s="28" t="s">
        <v>20</v>
      </c>
      <c r="B56" s="38" t="str">
        <f>_xll.qlSwapNpvDateDiscount(B44,B47)</f>
        <v>Error in arg 1 'swap': Cannot convert '欣[test_swap.xlsx]MakeOIS!R44C2OvernightIndexedSwap,A': Expected cache string</v>
      </c>
      <c r="C56" s="15" t="str">
        <f>_xll.qlSwapNpvDateDiscount(C44,C47)</f>
        <v>Error in arg 1 'swap': Cannot convert 'Error in arg 2 'overnight_index': Cannot convert '欣[test_swap.xlsx]MakeOIS!R6C3Estr,A': Expected cache string': Expected cache string</v>
      </c>
    </row>
    <row r="57" spans="1:3" x14ac:dyDescent="0.3">
      <c r="A57" s="44" t="s">
        <v>218</v>
      </c>
      <c r="B57" s="42" t="b">
        <f>_xll.qlSwapPayer(B44,0)</f>
        <v>1</v>
      </c>
      <c r="C57" s="24" t="str">
        <f>_xll.qlSwapPayer(C44,0)</f>
        <v>Error in arg 1 'swap': Cannot convert 'Error in arg 2 'overnight_index': Cannot convert '欣[test_swap.xlsx]MakeOIS!R6C3Estr,A': Expected cache string': Expected cache string</v>
      </c>
    </row>
    <row r="58" spans="1:3" x14ac:dyDescent="0.3">
      <c r="A58" s="28" t="s">
        <v>147</v>
      </c>
      <c r="B58" s="38" t="str">
        <f>_xll.qlOvernightIndexedSwapOvernightLegBPS(B44,B47)</f>
        <v>Error in arg 1 'swap': Cannot convert '欣[test_swap.xlsx]MakeOIS!R44C2OvernightIndexedSwap,A': Expected cache string</v>
      </c>
      <c r="C58" s="15" t="str">
        <f>_xll.qlOvernightIndexedSwapOvernightLegBPS(C44)</f>
        <v>Error in arg 1 'swap': Cannot convert 'Error in arg 2 'overnight_index': Cannot convert '欣[test_swap.xlsx]MakeOIS!R6C3Estr,A': Expected cache string': Expected cache string</v>
      </c>
    </row>
    <row r="59" spans="1:3" x14ac:dyDescent="0.3">
      <c r="A59" s="23" t="s">
        <v>148</v>
      </c>
      <c r="B59" s="42" t="str">
        <f>_xll.qlOvernightIndexedSwapOvernightLegNPV(B44,B47)</f>
        <v>Error in arg 1 'swap': Cannot convert '欣[test_swap.xlsx]MakeOIS!R44C2OvernightIndexedSwap,A': Expected cache string</v>
      </c>
      <c r="C59" s="24" t="str">
        <f>_xll.qlOvernightIndexedSwapOvernightLegNPV(C44)</f>
        <v>Error in arg 1 'swap': Cannot convert 'Error in arg 2 'overnight_index': Cannot convert '欣[test_swap.xlsx]MakeOIS!R6C3Estr,A': Expected cache string': Expected cache string</v>
      </c>
    </row>
    <row r="60" spans="1:3" x14ac:dyDescent="0.3">
      <c r="A60" s="46" t="s">
        <v>149</v>
      </c>
      <c r="B60" s="38" t="str">
        <f>_xll.qlOvernightIndexedSwapPaymentFrequency(B44)</f>
        <v>ANNUAL</v>
      </c>
      <c r="C60" s="15" t="str">
        <f>_xll.qlOvernightIndexedSwapPaymentFrequency(C44)</f>
        <v>Error in arg 1 'swap': Cannot convert 'Error in arg 2 'overnight_index': Cannot convert '欣[test_swap.xlsx]MakeOIS!R6C3Estr,A': Expected cache string': Expected cache string</v>
      </c>
    </row>
    <row r="61" spans="1:3" x14ac:dyDescent="0.3">
      <c r="A61" s="23" t="s">
        <v>150</v>
      </c>
      <c r="B61" s="42" t="str">
        <f>_xll.qlOvernightIndexedSwapOvernightIndex(B44)</f>
        <v>欣[test_swap.xlsx]MakeOIS!R61C2OvernightIndex,A</v>
      </c>
      <c r="C61" s="24" t="str">
        <f>_xll.qlOvernightIndexedSwapOvernightIndex(C44)</f>
        <v>Error in arg 1 'swap': Cannot convert 'Error in arg 2 'overnight_index': Cannot convert '欣[test_swap.xlsx]MakeOIS!R6C3Estr,A': Expected cache string': Expected cache string</v>
      </c>
    </row>
    <row r="62" spans="1:3" x14ac:dyDescent="0.3">
      <c r="A62" s="28" t="s">
        <v>151</v>
      </c>
      <c r="B62" s="38" t="str">
        <f>_xll.qlOvernightIndexedSwapOvernightLeg(B44)</f>
        <v>欣[test_swap.xlsx]MakeOIS!R62C2CashFlow,A</v>
      </c>
      <c r="C62" s="15" t="str">
        <f>_xll.qlOvernightIndexedSwapOvernightLeg(C44)</f>
        <v>Error in arg 1 'swap': Cannot convert 'Error in arg 2 'overnight_index': Cannot convert '欣[test_swap.xlsx]MakeOIS!R6C3Estr,A': Expected cache string': Expected cache string</v>
      </c>
    </row>
    <row r="63" spans="1:3" x14ac:dyDescent="0.3">
      <c r="A63" s="23" t="s">
        <v>152</v>
      </c>
      <c r="B63" s="42" t="str">
        <f>_xll.qlOvernightIndexedSwapAveragingMethod(B44)</f>
        <v>COMPOUND</v>
      </c>
      <c r="C63" s="24" t="str">
        <f>_xll.qlOvernightIndexedSwapAveragingMethod(C44)</f>
        <v>Error in arg 1 'swap': Cannot convert 'Error in arg 2 'overnight_index': Cannot convert '欣[test_swap.xlsx]MakeOIS!R6C3Estr,A': Expected cache string': Expected cache string</v>
      </c>
    </row>
    <row r="64" spans="1:3" x14ac:dyDescent="0.3">
      <c r="A64" s="46" t="s">
        <v>153</v>
      </c>
      <c r="B64" s="38">
        <f>_xll.qlOvernightIndexedSwapLookbackDays(B44)</f>
        <v>2147483647</v>
      </c>
      <c r="C64" s="15" t="str">
        <f>_xll.qlOvernightIndexedSwapLookbackDays(C44)</f>
        <v>Error in arg 1 'swap': Cannot convert 'Error in arg 2 'overnight_index': Cannot convert '欣[test_swap.xlsx]MakeOIS!R6C3Estr,A': Expected cache string': Expected cache string</v>
      </c>
    </row>
    <row r="65" spans="1:3" x14ac:dyDescent="0.3">
      <c r="A65" s="23" t="s">
        <v>154</v>
      </c>
      <c r="B65" s="42">
        <f>_xll.qlOvernightIndexedSwapLockoutDays(B44)</f>
        <v>0</v>
      </c>
      <c r="C65" s="24" t="str">
        <f>_xll.qlOvernightIndexedSwapLockoutDays(C44)</f>
        <v>Error in arg 1 'swap': Cannot convert 'Error in arg 2 'overnight_index': Cannot convert '欣[test_swap.xlsx]MakeOIS!R6C3Estr,A': Expected cache string': Expected cache string</v>
      </c>
    </row>
    <row r="66" spans="1:3" x14ac:dyDescent="0.3">
      <c r="A66" s="46" t="s">
        <v>155</v>
      </c>
      <c r="B66" s="38" t="b">
        <f>_xll.qlOvernightIndexedSwapApplyObservationShift(B44)</f>
        <v>0</v>
      </c>
      <c r="C66" s="15" t="str">
        <f>_xll.qlOvernightIndexedSwapApplyObservationShift(C44)</f>
        <v>Error in arg 1 'swap': Cannot convert 'Error in arg 2 'overnight_index': Cannot convert '欣[test_swap.xlsx]MakeOIS!R6C3Estr,A': Expected cache string': Expected cache string</v>
      </c>
    </row>
    <row r="67" spans="1:3" x14ac:dyDescent="0.3">
      <c r="A67" s="23" t="s">
        <v>275</v>
      </c>
      <c r="B67" s="42" t="str">
        <f>_xll.qlFixedVsFloatingSwapType(B44)</f>
        <v>PAYER</v>
      </c>
      <c r="C67" s="24" t="str">
        <f>_xll.qlFixedVsFloatingSwapType(C44)</f>
        <v>Error in arg 1 'swap': Cannot convert 'Error in arg 2 'overnight_index': Cannot convert '欣[test_swap.xlsx]MakeOIS!R6C3Estr,A': Expected cache string': Expected cache string</v>
      </c>
    </row>
    <row r="68" spans="1:3" x14ac:dyDescent="0.3">
      <c r="A68" s="28" t="s">
        <v>276</v>
      </c>
      <c r="B68" s="38">
        <f>_xll.qlFixedVsFloatingSwapNominal(B44)</f>
        <v>1</v>
      </c>
      <c r="C68" s="15" t="str">
        <f>_xll.qlFixedVsFloatingSwapNominal(C44)</f>
        <v>Error in arg 1 'swap': Cannot convert 'Error in arg 2 'overnight_index': Cannot convert '欣[test_swap.xlsx]MakeOIS!R6C3Estr,A': Expected cache string': Expected cache string</v>
      </c>
    </row>
    <row r="69" spans="1:3" x14ac:dyDescent="0.3">
      <c r="A69" s="44" t="s">
        <v>277</v>
      </c>
      <c r="B69" s="42">
        <f>_xll.qlFixedVsFloatingSwapNominals(B44)</f>
        <v>1</v>
      </c>
      <c r="C69" s="24" t="str">
        <f>_xll.qlFixedVsFloatingSwapNominals(C44)</f>
        <v>Error in arg 1 'swap': Cannot convert 'Error in arg 2 'overnight_index': Cannot convert '欣[test_swap.xlsx]MakeOIS!R6C3Estr,A': Expected cache string': Expected cache string</v>
      </c>
    </row>
    <row r="70" spans="1:3" x14ac:dyDescent="0.3">
      <c r="A70" s="46" t="s">
        <v>278</v>
      </c>
      <c r="B70" s="38">
        <f>_xll.qlFixedVsFloatingSwapFixedNominals(B44)</f>
        <v>1</v>
      </c>
      <c r="C70" s="15" t="str">
        <f>_xll.qlFixedVsFloatingSwapFixedNominals(C44)</f>
        <v>Error in arg 1 'swap': Cannot convert 'Error in arg 2 'overnight_index': Cannot convert '欣[test_swap.xlsx]MakeOIS!R6C3Estr,A': Expected cache string': Expected cache string</v>
      </c>
    </row>
    <row r="71" spans="1:3" x14ac:dyDescent="0.3">
      <c r="A71" s="44" t="s">
        <v>279</v>
      </c>
      <c r="B71" s="42" t="str">
        <f>_xll.qlFixedVsFloatingSwapFixedSchedule(B44)</f>
        <v>欣[test_swap.xlsx]MakeOIS!R71C2Schedule,A</v>
      </c>
      <c r="C71" s="24" t="str">
        <f>_xll.qlFixedVsFloatingSwapFixedSchedule(C44)</f>
        <v>Error in arg 1 'swap': Cannot convert 'Error in arg 2 'overnight_index': Cannot convert '欣[test_swap.xlsx]MakeOIS!R6C3Estr,A': Expected cache string': Expected cache string</v>
      </c>
    </row>
    <row r="72" spans="1:3" x14ac:dyDescent="0.3">
      <c r="A72" s="46" t="s">
        <v>280</v>
      </c>
      <c r="B72" s="38">
        <f>_xll.qlFixedVsFloatingSwapFixedRate(B44)</f>
        <v>2.9698750364177681E-2</v>
      </c>
      <c r="C72" s="15" t="str">
        <f>_xll.qlFixedVsFloatingSwapFixedRate(C44)</f>
        <v>Error in arg 1 'swap': Cannot convert 'Error in arg 2 'overnight_index': Cannot convert '欣[test_swap.xlsx]MakeOIS!R6C3Estr,A': Expected cache string': Expected cache string</v>
      </c>
    </row>
    <row r="73" spans="1:3" x14ac:dyDescent="0.3">
      <c r="A73" s="44" t="s">
        <v>281</v>
      </c>
      <c r="B73" s="42" t="str">
        <f>_xll.qlFixedVsFloatingSwapFixedDayCount(B44)</f>
        <v>Actual/360</v>
      </c>
      <c r="C73" s="24" t="str">
        <f>_xll.qlFixedVsFloatingSwapFixedDayCount(C44)</f>
        <v>Error in arg 1 'swap': Cannot convert 'Error in arg 2 'overnight_index': Cannot convert '欣[test_swap.xlsx]MakeOIS!R6C3Estr,A': Expected cache string': Expected cache string</v>
      </c>
    </row>
    <row r="74" spans="1:3" x14ac:dyDescent="0.3">
      <c r="A74" s="71" t="s">
        <v>282</v>
      </c>
      <c r="B74" s="36">
        <f>_xll.qlFixedVsFloatingSwapFloatingNominals(B44)</f>
        <v>1</v>
      </c>
      <c r="C74" s="22" t="str">
        <f>_xll.qlFixedVsFloatingSwapFloatingNominals(C44)</f>
        <v>Error in arg 1 'swap': Cannot convert 'Error in arg 2 'overnight_index': Cannot convert '欣[test_swap.xlsx]MakeOIS!R6C3Estr,A': Expected cache string': Expected cache string</v>
      </c>
    </row>
    <row r="75" spans="1:3" x14ac:dyDescent="0.3">
      <c r="A75" s="18" t="s">
        <v>284</v>
      </c>
      <c r="B75" s="39" t="str">
        <f>_xll.qlFixedVsFloatingSwapFloatingSchedule(B44)</f>
        <v>欣[test_swap.xlsx]MakeOIS!R75C2Schedule,A</v>
      </c>
      <c r="C75" s="17" t="str">
        <f>_xll.qlFixedVsFloatingSwapFloatingSchedule(C44)</f>
        <v>Error in arg 1 'swap': Cannot convert 'Error in arg 2 'overnight_index': Cannot convert '欣[test_swap.xlsx]MakeOIS!R6C3Estr,A': Expected cache string': Expected cache string</v>
      </c>
    </row>
    <row r="76" spans="1:3" x14ac:dyDescent="0.3">
      <c r="A76" s="28" t="s">
        <v>283</v>
      </c>
      <c r="B76" s="38" t="str">
        <f>_xll.qlFixedVsFloatingSwapIborIndex(B44)</f>
        <v>欣[test_swap.xlsx]MakeOIS!R76C2IborIndex,A</v>
      </c>
      <c r="C76" s="15" t="str">
        <f>_xll.qlFixedVsFloatingSwapIborIndex(C44)</f>
        <v>Error in arg 1 'swap': Cannot convert 'Error in arg 2 'overnight_index': Cannot convert '欣[test_swap.xlsx]MakeOIS!R6C3Estr,A': Expected cache string': Expected cache string</v>
      </c>
    </row>
    <row r="77" spans="1:3" x14ac:dyDescent="0.3">
      <c r="A77" s="23" t="s">
        <v>285</v>
      </c>
      <c r="B77" s="42">
        <f>_xll.qlFixedVsFloatingSwapSpread(B44)</f>
        <v>0</v>
      </c>
      <c r="C77" s="24" t="str">
        <f>_xll.qlFixedVsFloatingSwapSpread(C44)</f>
        <v>Error in arg 1 'swap': Cannot convert 'Error in arg 2 'overnight_index': Cannot convert '欣[test_swap.xlsx]MakeOIS!R6C3Estr,A': Expected cache string': Expected cache string</v>
      </c>
    </row>
    <row r="78" spans="1:3" x14ac:dyDescent="0.3">
      <c r="A78" s="46" t="s">
        <v>286</v>
      </c>
      <c r="B78" s="45">
        <f xml:space="preserve"> FIND("RuntimeError: RuntimeError: no day counter implementation provided",_xll.qlFixedVsFloatingSwapFloatingDayCount(B44))</f>
        <v>1</v>
      </c>
      <c r="C78" s="27" t="e">
        <f xml:space="preserve"> FIND("RuntimeError: RuntimeError: no day counter implementation provided",_xll.qlFixedVsFloatingSwapFloatingDayCount(C44))</f>
        <v>#VALUE!</v>
      </c>
    </row>
    <row r="79" spans="1:3" x14ac:dyDescent="0.3">
      <c r="A79" s="44" t="s">
        <v>287</v>
      </c>
      <c r="B79" s="58" t="str">
        <f>_xll.qlFixedVsFloatingSwapPaymentConvention(B44)</f>
        <v>MODIFIEDFOLLOWING</v>
      </c>
      <c r="C79" s="59" t="str">
        <f>_xll.qlFixedVsFloatingSwapPaymentConvention(C44)</f>
        <v>Error in arg 1 'swap': Cannot convert 'Error in arg 2 'overnight_index': Cannot convert '欣[test_swap.xlsx]MakeOIS!R6C3Estr,A': Expected cache string': Expected cache string</v>
      </c>
    </row>
    <row r="80" spans="1:3" x14ac:dyDescent="0.3">
      <c r="A80" s="28" t="s">
        <v>288</v>
      </c>
      <c r="B80" s="38" t="str">
        <f>_xll.qlFixedVsFloatingSwapFixedLeg(B44)</f>
        <v>欣[test_swap.xlsx]MakeOIS!R80C2CashFlow,A</v>
      </c>
      <c r="C80" s="15" t="str">
        <f>_xll.qlFixedVsFloatingSwapFixedLeg(C44)</f>
        <v>Error in arg 1 'swap': Cannot convert 'Error in arg 2 'overnight_index': Cannot convert '欣[test_swap.xlsx]MakeOIS!R6C3Estr,A': Expected cache string': Expected cache string</v>
      </c>
    </row>
    <row r="81" spans="1:3" x14ac:dyDescent="0.3">
      <c r="A81" s="23" t="s">
        <v>289</v>
      </c>
      <c r="B81" s="42" t="str">
        <f>_xll.qlFixedVsFloatingSwapFloatingLeg(B44)</f>
        <v>欣[test_swap.xlsx]MakeOIS!R81C2CashFlow,A</v>
      </c>
      <c r="C81" s="24" t="str">
        <f>_xll.qlFixedVsFloatingSwapFloatingLeg(C44)</f>
        <v>Error in arg 1 'swap': Cannot convert 'Error in arg 2 'overnight_index': Cannot convert '欣[test_swap.xlsx]MakeOIS!R6C3Estr,A': Expected cache string': Expected cache string</v>
      </c>
    </row>
    <row r="82" spans="1:3" x14ac:dyDescent="0.3">
      <c r="A82" s="28" t="s">
        <v>290</v>
      </c>
      <c r="B82" s="38" t="str">
        <f>_xll.qlFixedVsFloatingSwapFixedLegBPS(B44,B47)</f>
        <v>Error in arg 1 'swap': Cannot convert '欣[test_swap.xlsx]MakeOIS!R44C2OvernightIndexedSwap,A': Expected cache string</v>
      </c>
      <c r="C82" s="15" t="str">
        <f>_xll.qlFixedVsFloatingSwapFixedLegBPS(C44)</f>
        <v>Error in arg 1 'swap': Cannot convert 'Error in arg 2 'overnight_index': Cannot convert '欣[test_swap.xlsx]MakeOIS!R6C3Estr,A': Expected cache string': Expected cache string</v>
      </c>
    </row>
    <row r="83" spans="1:3" x14ac:dyDescent="0.3">
      <c r="A83" s="23" t="s">
        <v>291</v>
      </c>
      <c r="B83" s="42" t="str">
        <f>_xll.qlFixedVsFloatingSwapFixedLegNPV(B44,B47)</f>
        <v>Error in arg 1 'swap': Cannot convert '欣[test_swap.xlsx]MakeOIS!R44C2OvernightIndexedSwap,A': Expected cache string</v>
      </c>
      <c r="C83" s="24" t="str">
        <f>_xll.qlFixedVsFloatingSwapFixedLegNPV(C44)</f>
        <v>Error in arg 1 'swap': Cannot convert 'Error in arg 2 'overnight_index': Cannot convert '欣[test_swap.xlsx]MakeOIS!R6C3Estr,A': Expected cache string': Expected cache string</v>
      </c>
    </row>
    <row r="84" spans="1:3" x14ac:dyDescent="0.3">
      <c r="A84" s="28" t="s">
        <v>292</v>
      </c>
      <c r="B84" s="38" t="str">
        <f>_xll.qlFixedVsFloatingSwapFairRate(B44,B47)</f>
        <v>Error in arg 1 'swap': Cannot convert '欣[test_swap.xlsx]MakeOIS!R44C2OvernightIndexedSwap,A': Expected cache string</v>
      </c>
      <c r="C84" s="15" t="str">
        <f>_xll.qlFixedVsFloatingSwapFairRate(C44)</f>
        <v>Error in arg 1 'swap': Cannot convert 'Error in arg 2 'overnight_index': Cannot convert '欣[test_swap.xlsx]MakeOIS!R6C3Estr,A': Expected cache string': Expected cache string</v>
      </c>
    </row>
    <row r="85" spans="1:3" x14ac:dyDescent="0.3">
      <c r="A85" s="23" t="s">
        <v>293</v>
      </c>
      <c r="B85" s="42" t="str">
        <f>_xll.qlFixedVsFloatingSwapFloatingLegBPS(B44,B47)</f>
        <v>Error in arg 1 'swap': Cannot convert '欣[test_swap.xlsx]MakeOIS!R44C2OvernightIndexedSwap,A': Expected cache string</v>
      </c>
      <c r="C85" s="24" t="str">
        <f>_xll.qlFixedVsFloatingSwapFloatingLegBPS(C44)</f>
        <v>Error in arg 1 'swap': Cannot convert 'Error in arg 2 'overnight_index': Cannot convert '欣[test_swap.xlsx]MakeOIS!R6C3Estr,A': Expected cache string': Expected cache string</v>
      </c>
    </row>
    <row r="86" spans="1:3" x14ac:dyDescent="0.3">
      <c r="A86" s="28" t="s">
        <v>294</v>
      </c>
      <c r="B86" s="38" t="str">
        <f>_xll.qlFixedVsFloatingSwapFloatingLegNPV(B44,B47)</f>
        <v>Error in arg 1 'swap': Cannot convert '欣[test_swap.xlsx]MakeOIS!R44C2OvernightIndexedSwap,A': Expected cache string</v>
      </c>
      <c r="C86" s="15" t="str">
        <f>_xll.qlFixedVsFloatingSwapFloatingLegNPV(C44)</f>
        <v>Error in arg 1 'swap': Cannot convert 'Error in arg 2 'overnight_index': Cannot convert '欣[test_swap.xlsx]MakeOIS!R6C3Estr,A': Expected cache string': Expected cache string</v>
      </c>
    </row>
    <row r="87" spans="1:3" x14ac:dyDescent="0.3">
      <c r="A87" s="23" t="s">
        <v>295</v>
      </c>
      <c r="B87" s="42" t="str">
        <f>_xll.qlFixedVsFloatingSwapFairSpread(B44,B47)</f>
        <v>Error in arg 1 'swap': Cannot convert '欣[test_swap.xlsx]MakeOIS!R44C2OvernightIndexedSwap,A': Expected cache string</v>
      </c>
      <c r="C87" s="24" t="str">
        <f>_xll.qlFixedVsFloatingSwapFairSpread(C44)</f>
        <v>Error in arg 1 'swap': Cannot convert 'Error in arg 2 'overnight_index': Cannot convert '欣[test_swap.xlsx]MakeOIS!R6C3Estr,A': Expected cache string': Expected cache string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6713-E9DF-413F-B257-98D2850437F2}">
  <dimension ref="A1:C6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7.88671875" customWidth="1"/>
    <col min="2" max="3" width="68.6640625" style="11" bestFit="1" customWidth="1"/>
  </cols>
  <sheetData>
    <row r="1" spans="1:3" x14ac:dyDescent="0.3">
      <c r="A1" s="30" t="s">
        <v>13</v>
      </c>
      <c r="B1" s="13">
        <v>45665</v>
      </c>
    </row>
    <row r="2" spans="1:3" x14ac:dyDescent="0.3">
      <c r="A2" s="32" t="s">
        <v>14</v>
      </c>
      <c r="B2" s="35">
        <f>_xll.qlSettingsSetEvaluationDate(B1)</f>
        <v>45665</v>
      </c>
    </row>
    <row r="4" spans="1:3" x14ac:dyDescent="0.3">
      <c r="A4" s="69" t="s">
        <v>60</v>
      </c>
      <c r="B4" s="36" t="s">
        <v>303</v>
      </c>
      <c r="C4" s="22" t="s">
        <v>303</v>
      </c>
    </row>
    <row r="5" spans="1:3" x14ac:dyDescent="0.3">
      <c r="A5" s="20" t="s">
        <v>61</v>
      </c>
      <c r="B5" s="38">
        <v>200</v>
      </c>
      <c r="C5" s="15">
        <v>200</v>
      </c>
    </row>
    <row r="6" spans="1:3" x14ac:dyDescent="0.3">
      <c r="A6" s="12" t="s">
        <v>40</v>
      </c>
      <c r="B6" s="36" t="s">
        <v>41</v>
      </c>
      <c r="C6" s="22" t="s">
        <v>41</v>
      </c>
    </row>
    <row r="7" spans="1:3" x14ac:dyDescent="0.3">
      <c r="A7" s="14" t="s">
        <v>42</v>
      </c>
      <c r="B7" s="37">
        <v>46030</v>
      </c>
      <c r="C7" s="16">
        <v>46030</v>
      </c>
    </row>
    <row r="8" spans="1:3" x14ac:dyDescent="0.3">
      <c r="A8" s="14" t="s">
        <v>43</v>
      </c>
      <c r="B8" s="37">
        <v>47126</v>
      </c>
      <c r="C8" s="16">
        <v>47126</v>
      </c>
    </row>
    <row r="9" spans="1:3" x14ac:dyDescent="0.3">
      <c r="A9" s="14" t="s">
        <v>44</v>
      </c>
      <c r="B9" s="38" t="s">
        <v>74</v>
      </c>
      <c r="C9" s="15" t="s">
        <v>74</v>
      </c>
    </row>
    <row r="10" spans="1:3" x14ac:dyDescent="0.3">
      <c r="A10" s="14" t="s">
        <v>46</v>
      </c>
      <c r="B10" s="38" t="s">
        <v>47</v>
      </c>
      <c r="C10" s="15" t="s">
        <v>47</v>
      </c>
    </row>
    <row r="11" spans="1:3" x14ac:dyDescent="0.3">
      <c r="A11" s="32" t="s">
        <v>62</v>
      </c>
      <c r="B11" s="39" t="str">
        <f>_xll.qlMakeSchedule(B7,B8,B9,,B6,B10)</f>
        <v>欣[test_swap.xlsx]MultipleResetsSwap!R11C2Schedule,A</v>
      </c>
      <c r="C11" s="17" t="str">
        <f>_xll.qlMakeSchedule(C7,C8,C9,,C6,C10)</f>
        <v>欣[test_swap.xlsx]MultipleResetsSwap!R11C3Schedule,A</v>
      </c>
    </row>
    <row r="12" spans="1:3" x14ac:dyDescent="0.3">
      <c r="A12" s="31" t="s">
        <v>63</v>
      </c>
      <c r="B12" s="38">
        <v>2.5000000000000001E-2</v>
      </c>
      <c r="C12" s="15">
        <v>2.5000000000000001E-2</v>
      </c>
    </row>
    <row r="13" spans="1:3" x14ac:dyDescent="0.3">
      <c r="A13" s="31" t="s">
        <v>64</v>
      </c>
      <c r="B13" s="38" t="s">
        <v>304</v>
      </c>
      <c r="C13" s="15" t="s">
        <v>304</v>
      </c>
    </row>
    <row r="14" spans="1:3" x14ac:dyDescent="0.3">
      <c r="A14" s="12" t="s">
        <v>40</v>
      </c>
      <c r="B14" s="36" t="s">
        <v>41</v>
      </c>
      <c r="C14" s="22" t="s">
        <v>41</v>
      </c>
    </row>
    <row r="15" spans="1:3" x14ac:dyDescent="0.3">
      <c r="A15" s="14" t="s">
        <v>42</v>
      </c>
      <c r="B15" s="37">
        <v>46030</v>
      </c>
      <c r="C15" s="16">
        <v>46030</v>
      </c>
    </row>
    <row r="16" spans="1:3" x14ac:dyDescent="0.3">
      <c r="A16" s="14" t="s">
        <v>43</v>
      </c>
      <c r="B16" s="37">
        <v>47126</v>
      </c>
      <c r="C16" s="16">
        <v>47126</v>
      </c>
    </row>
    <row r="17" spans="1:3" x14ac:dyDescent="0.3">
      <c r="A17" s="14" t="s">
        <v>44</v>
      </c>
      <c r="B17" s="38" t="s">
        <v>164</v>
      </c>
      <c r="C17" s="15" t="s">
        <v>164</v>
      </c>
    </row>
    <row r="18" spans="1:3" x14ac:dyDescent="0.3">
      <c r="A18" s="14" t="s">
        <v>46</v>
      </c>
      <c r="B18" s="38" t="s">
        <v>47</v>
      </c>
      <c r="C18" s="15" t="s">
        <v>47</v>
      </c>
    </row>
    <row r="19" spans="1:3" x14ac:dyDescent="0.3">
      <c r="A19" s="32" t="s">
        <v>300</v>
      </c>
      <c r="B19" s="39" t="str">
        <f>_xll.qlMakeSchedule(B15,B16,B17,,B14,B18)</f>
        <v>欣[test_swap.xlsx]MultipleResetsSwap!R19C2Schedule,A</v>
      </c>
      <c r="C19" s="17" t="str">
        <f>_xll.qlMakeSchedule(C15,C16,C17,,C14,C18)</f>
        <v>欣[test_swap.xlsx]MultipleResetsSwap!R19C3Schedule,A</v>
      </c>
    </row>
    <row r="20" spans="1:3" x14ac:dyDescent="0.3">
      <c r="A20" s="14" t="s">
        <v>22</v>
      </c>
      <c r="B20" s="38" t="str">
        <f>_xll.qlFlatForward($B$2,0.03,"actual365fixed")</f>
        <v>欣[test_swap.xlsx]MultipleResetsSwap!R20C2YieldTermStructureHandle,A</v>
      </c>
      <c r="C20" s="15" t="str">
        <f>_xll.qlFlatForward($B$2,0.03,"actual365fixed")</f>
        <v>欣[test_swap.xlsx]MultipleResetsSwap!R20C3YieldTermStructureHandle,A</v>
      </c>
    </row>
    <row r="21" spans="1:3" x14ac:dyDescent="0.3">
      <c r="A21" s="31" t="s">
        <v>174</v>
      </c>
      <c r="B21" s="38" t="str">
        <f>_xll.qlEuribor("12M",B20,$B$2)</f>
        <v>欣[test_swap.xlsx]MultipleResetsSwap!R21C2Euribor,A</v>
      </c>
      <c r="C21" s="15" t="str">
        <f>_xll.qlEuribor("12M",C20,$B$2)</f>
        <v>欣[test_swap.xlsx]MultipleResetsSwap!R21C3Euribor,A</v>
      </c>
    </row>
    <row r="22" spans="1:3" x14ac:dyDescent="0.3">
      <c r="A22" s="31" t="s">
        <v>301</v>
      </c>
      <c r="B22" s="38">
        <v>4</v>
      </c>
      <c r="C22" s="15">
        <v>4</v>
      </c>
    </row>
    <row r="23" spans="1:3" x14ac:dyDescent="0.3">
      <c r="A23" s="31" t="s">
        <v>67</v>
      </c>
      <c r="B23" s="38"/>
      <c r="C23" s="15">
        <v>1E-3</v>
      </c>
    </row>
    <row r="24" spans="1:3" x14ac:dyDescent="0.3">
      <c r="A24" s="31" t="s">
        <v>141</v>
      </c>
      <c r="B24" s="38"/>
      <c r="C24" s="15" t="s">
        <v>305</v>
      </c>
    </row>
    <row r="25" spans="1:3" x14ac:dyDescent="0.3">
      <c r="A25" s="20" t="s">
        <v>69</v>
      </c>
      <c r="B25" s="38"/>
      <c r="C25" s="15" t="s">
        <v>75</v>
      </c>
    </row>
    <row r="26" spans="1:3" x14ac:dyDescent="0.3">
      <c r="A26" s="20" t="s">
        <v>137</v>
      </c>
      <c r="B26" s="38"/>
      <c r="C26" s="15">
        <v>2</v>
      </c>
    </row>
    <row r="27" spans="1:3" x14ac:dyDescent="0.3">
      <c r="A27" s="20" t="s">
        <v>139</v>
      </c>
      <c r="B27" s="38"/>
      <c r="C27" s="15" t="s">
        <v>299</v>
      </c>
    </row>
    <row r="28" spans="1:3" x14ac:dyDescent="0.3">
      <c r="A28" s="18" t="s">
        <v>302</v>
      </c>
      <c r="B28" s="39" t="str">
        <f>_xll.qlMultipleResetsSwap(B4,B5,B11,B12,B13,B19,B21,B22)</f>
        <v>欣[test_swap.xlsx]MultipleResetsSwap!R28C2MultipleResetsSwap,A</v>
      </c>
      <c r="C28" s="17" t="str">
        <f>_xll.qlMultipleResetsSwap(C4,C5,C11,C12,C13,C19,C21,C22,C23,C24,C25,C26,C27)</f>
        <v>欣[test_swap.xlsx]MultipleResetsSwap!R28C3MultipleResetsSwap,A</v>
      </c>
    </row>
    <row r="29" spans="1:3" x14ac:dyDescent="0.3">
      <c r="A29" s="14" t="s">
        <v>22</v>
      </c>
      <c r="B29" s="38" t="str">
        <f>_xll.qlFlatForward(B2,0.03,"actual365fixed")</f>
        <v>欣[test_swap.xlsx]MultipleResetsSwap!R29C2YieldTermStructureHandle,A</v>
      </c>
      <c r="C29" s="15" t="str">
        <f>_xll.qlFlatForward(B2,0.03,"actual365fixed")</f>
        <v>欣[test_swap.xlsx]MultipleResetsSwap!R29C3YieldTermStructureHandle,A</v>
      </c>
    </row>
    <row r="30" spans="1:3" x14ac:dyDescent="0.3">
      <c r="A30" s="28" t="s">
        <v>21</v>
      </c>
      <c r="B30" s="38" t="str">
        <f>_xll.qlDiscountingSwapEngine(B29,FALSE)</f>
        <v>Error in arg 1 'discount_curve': Cannot convert '欣[test_swap.xlsx]MultipleResetsSwap!R29C2YieldTermStructureHandle,A': Expected cache string</v>
      </c>
      <c r="C30" s="15" t="str">
        <f>_xll.qlDiscountingSwapEngine(C29,FALSE)</f>
        <v>Error in arg 1 'discount_curve': Cannot convert '欣[test_swap.xlsx]MultipleResetsSwap!R29C3YieldTermStructureHandle,A': Expected cache string</v>
      </c>
    </row>
    <row r="31" spans="1:3" x14ac:dyDescent="0.3">
      <c r="A31" s="47" t="s">
        <v>296</v>
      </c>
      <c r="B31" s="58" t="str">
        <f>_xll.qlInstrumentSetPricingEngine(B28,B30)</f>
        <v>Error in arg 1 'instrument': Cannot convert '欣[test_swap.xlsx]MultipleResetsSwap!R28C2MultipleResetsSwap,A': Expected cache string</v>
      </c>
      <c r="C31" s="24" t="str">
        <f>_xll.qlInstrumentSetPricingEngine(C28,C30)</f>
        <v>Error in arg 1 'instrument': Cannot convert '欣[test_swap.xlsx]MultipleResetsSwap!R28C3MultipleResetsSwap,A': Expected cache string</v>
      </c>
    </row>
    <row r="32" spans="1:3" x14ac:dyDescent="0.3">
      <c r="A32" s="28" t="s">
        <v>17</v>
      </c>
      <c r="B32" s="38">
        <f>_xll.qlSwapNumberOfLegs(B28)</f>
        <v>2</v>
      </c>
      <c r="C32" s="15">
        <f>_xll.qlSwapNumberOfLegs(C28)</f>
        <v>2</v>
      </c>
    </row>
    <row r="33" spans="1:3" x14ac:dyDescent="0.3">
      <c r="A33" s="23" t="s">
        <v>18</v>
      </c>
      <c r="B33" s="43">
        <f>_xll.qlSwapStartDate(B28)</f>
        <v>46030</v>
      </c>
      <c r="C33" s="25">
        <f>_xll.qlSwapStartDate(C28)</f>
        <v>46030</v>
      </c>
    </row>
    <row r="34" spans="1:3" x14ac:dyDescent="0.3">
      <c r="A34" s="28" t="s">
        <v>19</v>
      </c>
      <c r="B34" s="37">
        <f>_xll.qlSwapMaturityDate(B28)</f>
        <v>47126</v>
      </c>
      <c r="C34" s="16">
        <f>_xll.qlSwapMaturityDate(C28)</f>
        <v>47126</v>
      </c>
    </row>
    <row r="35" spans="1:3" x14ac:dyDescent="0.3">
      <c r="A35" s="23" t="s">
        <v>219</v>
      </c>
      <c r="B35" s="42" t="str">
        <f>_xll.qlSwapLeg(B28,1)</f>
        <v>欣[test_swap.xlsx]MultipleResetsSwap!R35C2CashFlow,A</v>
      </c>
      <c r="C35" s="24" t="str">
        <f>_xll.qlSwapLeg(C28,1)</f>
        <v>欣[test_swap.xlsx]MultipleResetsSwap!R35C3CashFlow,A</v>
      </c>
    </row>
    <row r="36" spans="1:3" x14ac:dyDescent="0.3">
      <c r="A36" s="46" t="s">
        <v>220</v>
      </c>
      <c r="B36" s="45" t="str">
        <f>_xll.qlSwapLegNPV(B28,1,B31)</f>
        <v>Error in arg 1 'swap': Cannot convert '欣[test_swap.xlsx]MultipleResetsSwap!R28C2MultipleResetsSwap,A': Expected cache string</v>
      </c>
      <c r="C36" s="27" t="str">
        <f>_xll.qlSwapLegNPV(C28,1,C31)</f>
        <v>Error in arg 1 'swap': Cannot convert '欣[test_swap.xlsx]MultipleResetsSwap!R28C3MultipleResetsSwap,A': Expected cache string</v>
      </c>
    </row>
    <row r="37" spans="1:3" x14ac:dyDescent="0.3">
      <c r="A37" s="44" t="s">
        <v>221</v>
      </c>
      <c r="B37" s="58" t="str">
        <f>_xll.qlSwapLegBPS(B28,1,B31)</f>
        <v>Error in arg 1 'swap': Cannot convert '欣[test_swap.xlsx]MultipleResetsSwap!R28C2MultipleResetsSwap,A': Expected cache string</v>
      </c>
      <c r="C37" s="59" t="str">
        <f>_xll.qlSwapLegBPS(C28,1,C31)</f>
        <v>Error in arg 1 'swap': Cannot convert '欣[test_swap.xlsx]MultipleResetsSwap!R28C3MultipleResetsSwap,A': Expected cache string</v>
      </c>
    </row>
    <row r="38" spans="1:3" x14ac:dyDescent="0.3">
      <c r="A38" s="46" t="s">
        <v>222</v>
      </c>
      <c r="B38" s="45" t="str">
        <f>_xll.qlSwapStartDiscounts(B28,1,B31)</f>
        <v>Error in arg 1 'swap': Cannot convert '欣[test_swap.xlsx]MultipleResetsSwap!R28C2MultipleResetsSwap,A': Expected cache string</v>
      </c>
      <c r="C38" s="27" t="str">
        <f>_xll.qlSwapStartDiscounts(C28,1,C31)</f>
        <v>Error in arg 1 'swap': Cannot convert '欣[test_swap.xlsx]MultipleResetsSwap!R28C3MultipleResetsSwap,A': Expected cache string</v>
      </c>
    </row>
    <row r="39" spans="1:3" x14ac:dyDescent="0.3">
      <c r="A39" s="44" t="s">
        <v>223</v>
      </c>
      <c r="B39" s="58" t="str">
        <f>_xll.qlSwapEndDiscounts(B28,1,B31)</f>
        <v>Error in arg 1 'swap': Cannot convert '欣[test_swap.xlsx]MultipleResetsSwap!R28C2MultipleResetsSwap,A': Expected cache string</v>
      </c>
      <c r="C39" s="59" t="str">
        <f>_xll.qlSwapEndDiscounts(C28,1,C31)</f>
        <v>Error in arg 1 'swap': Cannot convert '欣[test_swap.xlsx]MultipleResetsSwap!R28C3MultipleResetsSwap,A': Expected cache string</v>
      </c>
    </row>
    <row r="40" spans="1:3" x14ac:dyDescent="0.3">
      <c r="A40" s="46" t="s">
        <v>20</v>
      </c>
      <c r="B40" s="45" t="str">
        <f>_xll.qlSwapNpvDateDiscount(B28,B31)</f>
        <v>Error in arg 1 'swap': Cannot convert '欣[test_swap.xlsx]MultipleResetsSwap!R28C2MultipleResetsSwap,A': Expected cache string</v>
      </c>
      <c r="C40" s="27" t="str">
        <f>_xll.qlSwapNpvDateDiscount(C28,C31)</f>
        <v>Error in arg 1 'swap': Cannot convert '欣[test_swap.xlsx]MultipleResetsSwap!R28C3MultipleResetsSwap,A': Expected cache string</v>
      </c>
    </row>
    <row r="41" spans="1:3" x14ac:dyDescent="0.3">
      <c r="A41" s="44" t="s">
        <v>218</v>
      </c>
      <c r="B41" s="42" t="b">
        <f>_xll.qlSwapPayer(B28,0)</f>
        <v>1</v>
      </c>
      <c r="C41" s="24" t="b">
        <f>_xll.qlSwapPayer(C28,0)</f>
        <v>1</v>
      </c>
    </row>
    <row r="42" spans="1:3" x14ac:dyDescent="0.3">
      <c r="A42" s="28" t="s">
        <v>306</v>
      </c>
      <c r="B42" s="38" t="str">
        <f>_xll.qlMultipleResetsSwapFullResetSchedule(B28)</f>
        <v>欣[test_swap.xlsx]MultipleResetsSwap!R42C2Schedule,A</v>
      </c>
      <c r="C42" s="15" t="str">
        <f>_xll.qlMultipleResetsSwapFullResetSchedule(C28)</f>
        <v>欣[test_swap.xlsx]MultipleResetsSwap!R42C3Schedule,A</v>
      </c>
    </row>
    <row r="43" spans="1:3" x14ac:dyDescent="0.3">
      <c r="A43" s="23" t="s">
        <v>307</v>
      </c>
      <c r="B43" s="42">
        <f>_xll.qlMultipleResetsSwapResetsPerCoupon(B28)</f>
        <v>4</v>
      </c>
      <c r="C43" s="24">
        <f>_xll.qlMultipleResetsSwapResetsPerCoupon(C28)</f>
        <v>4</v>
      </c>
    </row>
    <row r="44" spans="1:3" x14ac:dyDescent="0.3">
      <c r="A44" s="28" t="s">
        <v>308</v>
      </c>
      <c r="B44" s="38" t="str">
        <f>_xll.qlMultipleResetsSwapAveragingMethod(B28)</f>
        <v>COMPOUND</v>
      </c>
      <c r="C44" s="15" t="str">
        <f>_xll.qlMultipleResetsSwapAveragingMethod(C28)</f>
        <v>COMPOUND</v>
      </c>
    </row>
    <row r="45" spans="1:3" x14ac:dyDescent="0.3">
      <c r="A45" s="23" t="s">
        <v>275</v>
      </c>
      <c r="B45" s="42" t="str">
        <f>_xll.qlFixedVsFloatingSwapType(B28)</f>
        <v>PAYER</v>
      </c>
      <c r="C45" s="24" t="str">
        <f>_xll.qlFixedVsFloatingSwapType(C28)</f>
        <v>PAYER</v>
      </c>
    </row>
    <row r="46" spans="1:3" x14ac:dyDescent="0.3">
      <c r="A46" s="28" t="s">
        <v>276</v>
      </c>
      <c r="B46" s="38">
        <f>_xll.qlFixedVsFloatingSwapNominal(B28)</f>
        <v>200</v>
      </c>
      <c r="C46" s="15">
        <f>_xll.qlFixedVsFloatingSwapNominal(C28)</f>
        <v>200</v>
      </c>
    </row>
    <row r="47" spans="1:3" x14ac:dyDescent="0.3">
      <c r="A47" s="44" t="s">
        <v>277</v>
      </c>
      <c r="B47" s="42">
        <f>_xll.qlFixedVsFloatingSwapNominals(B28)</f>
        <v>200</v>
      </c>
      <c r="C47" s="24">
        <f>_xll.qlFixedVsFloatingSwapNominals(C28)</f>
        <v>200</v>
      </c>
    </row>
    <row r="48" spans="1:3" x14ac:dyDescent="0.3">
      <c r="A48" s="46" t="s">
        <v>278</v>
      </c>
      <c r="B48" s="38">
        <f>_xll.qlFixedVsFloatingSwapFixedNominals(B28)</f>
        <v>200</v>
      </c>
      <c r="C48" s="15">
        <f>_xll.qlFixedVsFloatingSwapFixedNominals(C28)</f>
        <v>200</v>
      </c>
    </row>
    <row r="49" spans="1:3" x14ac:dyDescent="0.3">
      <c r="A49" s="44" t="s">
        <v>279</v>
      </c>
      <c r="B49" s="42" t="str">
        <f>_xll.qlFixedVsFloatingSwapFixedSchedule(B28)</f>
        <v>欣[test_swap.xlsx]MultipleResetsSwap!R49C2Schedule,A</v>
      </c>
      <c r="C49" s="24" t="str">
        <f>_xll.qlFixedVsFloatingSwapFixedSchedule(C28)</f>
        <v>欣[test_swap.xlsx]MultipleResetsSwap!R49C3Schedule,A</v>
      </c>
    </row>
    <row r="50" spans="1:3" x14ac:dyDescent="0.3">
      <c r="A50" s="46" t="s">
        <v>280</v>
      </c>
      <c r="B50" s="38">
        <f>_xll.qlFixedVsFloatingSwapFixedRate(B28)</f>
        <v>2.5000000000000001E-2</v>
      </c>
      <c r="C50" s="15">
        <f>_xll.qlFixedVsFloatingSwapFixedRate(C28)</f>
        <v>2.5000000000000001E-2</v>
      </c>
    </row>
    <row r="51" spans="1:3" x14ac:dyDescent="0.3">
      <c r="A51" s="44" t="s">
        <v>281</v>
      </c>
      <c r="B51" s="42" t="str">
        <f>_xll.qlFixedVsFloatingSwapFixedDayCount(B28)</f>
        <v>30/360 (Bond Basis)</v>
      </c>
      <c r="C51" s="24" t="str">
        <f>_xll.qlFixedVsFloatingSwapFixedDayCount(C28)</f>
        <v>30/360 (Bond Basis)</v>
      </c>
    </row>
    <row r="52" spans="1:3" x14ac:dyDescent="0.3">
      <c r="A52" s="46" t="s">
        <v>282</v>
      </c>
      <c r="B52" s="38">
        <f>_xll.qlFixedVsFloatingSwapFloatingNominals(B28)</f>
        <v>200</v>
      </c>
      <c r="C52" s="15">
        <f>_xll.qlFixedVsFloatingSwapFloatingNominals(C28)</f>
        <v>200</v>
      </c>
    </row>
    <row r="53" spans="1:3" x14ac:dyDescent="0.3">
      <c r="A53" s="23" t="s">
        <v>284</v>
      </c>
      <c r="B53" s="42" t="str">
        <f>_xll.qlFixedVsFloatingSwapFloatingSchedule(B28)</f>
        <v>欣[test_swap.xlsx]MultipleResetsSwap!R53C2Schedule,A</v>
      </c>
      <c r="C53" s="24" t="str">
        <f>_xll.qlFixedVsFloatingSwapFloatingSchedule(C28)</f>
        <v>欣[test_swap.xlsx]MultipleResetsSwap!R53C3Schedule,A</v>
      </c>
    </row>
    <row r="54" spans="1:3" x14ac:dyDescent="0.3">
      <c r="A54" s="28" t="s">
        <v>283</v>
      </c>
      <c r="B54" s="38" t="str">
        <f>_xll.qlFixedVsFloatingSwapIborIndex(B28)</f>
        <v>欣[test_swap.xlsx]MultipleResetsSwap!R54C2IborIndex,A</v>
      </c>
      <c r="C54" s="15" t="str">
        <f>_xll.qlFixedVsFloatingSwapIborIndex(C28)</f>
        <v>欣[test_swap.xlsx]MultipleResetsSwap!R54C3IborIndex,A</v>
      </c>
    </row>
    <row r="55" spans="1:3" x14ac:dyDescent="0.3">
      <c r="A55" s="23" t="s">
        <v>285</v>
      </c>
      <c r="B55" s="42">
        <f>_xll.qlFixedVsFloatingSwapSpread(B28)</f>
        <v>0</v>
      </c>
      <c r="C55" s="24">
        <f>_xll.qlFixedVsFloatingSwapSpread(C28)</f>
        <v>1E-3</v>
      </c>
    </row>
    <row r="56" spans="1:3" x14ac:dyDescent="0.3">
      <c r="A56" s="28" t="s">
        <v>286</v>
      </c>
      <c r="B56" s="38" t="str">
        <f>_xll.qlFixedVsFloatingSwapFloatingDayCount(B28)</f>
        <v>Actual/360</v>
      </c>
      <c r="C56" s="15" t="str">
        <f>_xll.qlFixedVsFloatingSwapFloatingDayCount(C28)</f>
        <v>Actual/360</v>
      </c>
    </row>
    <row r="57" spans="1:3" x14ac:dyDescent="0.3">
      <c r="A57" s="23" t="s">
        <v>287</v>
      </c>
      <c r="B57" s="42" t="str">
        <f>_xll.qlFixedVsFloatingSwapPaymentConvention(B28)</f>
        <v>UNADJUSTED</v>
      </c>
      <c r="C57" s="24" t="str">
        <f>_xll.qlFixedVsFloatingSwapPaymentConvention(C28)</f>
        <v>FOLLOWING</v>
      </c>
    </row>
    <row r="58" spans="1:3" x14ac:dyDescent="0.3">
      <c r="A58" s="28" t="s">
        <v>288</v>
      </c>
      <c r="B58" s="38" t="str">
        <f>_xll.qlFixedVsFloatingSwapFixedLeg(B28)</f>
        <v>欣[test_swap.xlsx]MultipleResetsSwap!R58C2CashFlow,A</v>
      </c>
      <c r="C58" s="15" t="str">
        <f>_xll.qlFixedVsFloatingSwapFixedLeg(C28)</f>
        <v>欣[test_swap.xlsx]MultipleResetsSwap!R58C3CashFlow,A</v>
      </c>
    </row>
    <row r="59" spans="1:3" x14ac:dyDescent="0.3">
      <c r="A59" s="23" t="s">
        <v>289</v>
      </c>
      <c r="B59" s="42" t="str">
        <f>_xll.qlFixedVsFloatingSwapFloatingLeg(B28)</f>
        <v>欣[test_swap.xlsx]MultipleResetsSwap!R59C2CashFlow,A</v>
      </c>
      <c r="C59" s="24" t="str">
        <f>_xll.qlFixedVsFloatingSwapFloatingLeg(C28)</f>
        <v>欣[test_swap.xlsx]MultipleResetsSwap!R59C3CashFlow,A</v>
      </c>
    </row>
    <row r="60" spans="1:3" x14ac:dyDescent="0.3">
      <c r="A60" s="28" t="s">
        <v>290</v>
      </c>
      <c r="B60" s="38" t="str">
        <f>_xll.qlFixedVsFloatingSwapFixedLegBPS(B28,B31)</f>
        <v>Error in arg 1 'swap': Cannot convert '欣[test_swap.xlsx]MultipleResetsSwap!R28C2MultipleResetsSwap,A': Expected cache string</v>
      </c>
      <c r="C60" s="15" t="str">
        <f>_xll.qlFixedVsFloatingSwapFixedLegBPS(C28,C31)</f>
        <v>Error in arg 1 'swap': Cannot convert '欣[test_swap.xlsx]MultipleResetsSwap!R28C3MultipleResetsSwap,A': Expected cache string</v>
      </c>
    </row>
    <row r="61" spans="1:3" x14ac:dyDescent="0.3">
      <c r="A61" s="23" t="s">
        <v>291</v>
      </c>
      <c r="B61" s="42" t="str">
        <f>_xll.qlFixedVsFloatingSwapFixedLegNPV(B28,B31)</f>
        <v>Error in arg 1 'swap': Cannot convert '欣[test_swap.xlsx]MultipleResetsSwap!R28C2MultipleResetsSwap,A': Expected cache string</v>
      </c>
      <c r="C61" s="24" t="str">
        <f>_xll.qlFixedVsFloatingSwapFixedLegNPV(C28,C31)</f>
        <v>Error in arg 1 'swap': Cannot convert '欣[test_swap.xlsx]MultipleResetsSwap!R28C3MultipleResetsSwap,A': Expected cache string</v>
      </c>
    </row>
    <row r="62" spans="1:3" x14ac:dyDescent="0.3">
      <c r="A62" s="28" t="s">
        <v>292</v>
      </c>
      <c r="B62" s="38" t="str">
        <f>_xll.qlFixedVsFloatingSwapFairRate(B28,B31)</f>
        <v>Error in arg 1 'swap': Cannot convert '欣[test_swap.xlsx]MultipleResetsSwap!R28C2MultipleResetsSwap,A': Expected cache string</v>
      </c>
      <c r="C62" s="15" t="str">
        <f>_xll.qlFixedVsFloatingSwapFairRate(C28,C31)</f>
        <v>Error in arg 1 'swap': Cannot convert '欣[test_swap.xlsx]MultipleResetsSwap!R28C3MultipleResetsSwap,A': Expected cache string</v>
      </c>
    </row>
    <row r="63" spans="1:3" x14ac:dyDescent="0.3">
      <c r="A63" s="23" t="s">
        <v>293</v>
      </c>
      <c r="B63" s="42" t="str">
        <f>_xll.qlFixedVsFloatingSwapFloatingLegBPS(B28,B31)</f>
        <v>Error in arg 1 'swap': Cannot convert '欣[test_swap.xlsx]MultipleResetsSwap!R28C2MultipleResetsSwap,A': Expected cache string</v>
      </c>
      <c r="C63" s="24" t="str">
        <f>_xll.qlFixedVsFloatingSwapFloatingLegBPS(C28,C31)</f>
        <v>Error in arg 1 'swap': Cannot convert '欣[test_swap.xlsx]MultipleResetsSwap!R28C3MultipleResetsSwap,A': Expected cache string</v>
      </c>
    </row>
    <row r="64" spans="1:3" x14ac:dyDescent="0.3">
      <c r="A64" s="28" t="s">
        <v>294</v>
      </c>
      <c r="B64" s="38" t="str">
        <f>_xll.qlFixedVsFloatingSwapFloatingLegNPV(B28,B31)</f>
        <v>Error in arg 1 'swap': Cannot convert '欣[test_swap.xlsx]MultipleResetsSwap!R28C2MultipleResetsSwap,A': Expected cache string</v>
      </c>
      <c r="C64" s="15" t="str">
        <f>_xll.qlFixedVsFloatingSwapFloatingLegNPV(C28,C31)</f>
        <v>Error in arg 1 'swap': Cannot convert '欣[test_swap.xlsx]MultipleResetsSwap!R28C3MultipleResetsSwap,A': Expected cache string</v>
      </c>
    </row>
    <row r="65" spans="1:3" x14ac:dyDescent="0.3">
      <c r="A65" s="23" t="s">
        <v>295</v>
      </c>
      <c r="B65" s="42" t="str">
        <f>_xll.qlFixedVsFloatingSwapFairSpread(B28,B31)</f>
        <v>Error in arg 1 'swap': Cannot convert '欣[test_swap.xlsx]MultipleResetsSwap!R28C2MultipleResetsSwap,A': Expected cache string</v>
      </c>
      <c r="C65" s="24" t="str">
        <f>_xll.qlFixedVsFloatingSwapFairSpread(C28,C31)</f>
        <v>Error in arg 1 'swap': Cannot convert '欣[test_swap.xlsx]MultipleResetsSwap!R28C3MultipleResetsSwap,A': Expected cache string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93B69-A71F-448C-B323-131ACA181199}">
  <dimension ref="A1:C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7.88671875" customWidth="1"/>
    <col min="2" max="3" width="73.6640625" style="11" bestFit="1" customWidth="1"/>
  </cols>
  <sheetData>
    <row r="1" spans="1:3" x14ac:dyDescent="0.3">
      <c r="A1" s="30" t="s">
        <v>13</v>
      </c>
      <c r="B1" s="13">
        <v>45665</v>
      </c>
    </row>
    <row r="2" spans="1:3" x14ac:dyDescent="0.3">
      <c r="A2" s="32" t="s">
        <v>14</v>
      </c>
      <c r="B2" s="35">
        <f>_xll.qlSettingsSetEvaluationDate(B1)</f>
        <v>45665</v>
      </c>
    </row>
    <row r="4" spans="1:3" x14ac:dyDescent="0.3">
      <c r="A4" s="30" t="s">
        <v>224</v>
      </c>
      <c r="B4" s="36" t="s">
        <v>311</v>
      </c>
      <c r="C4" s="22" t="s">
        <v>311</v>
      </c>
    </row>
    <row r="5" spans="1:3" x14ac:dyDescent="0.3">
      <c r="A5" s="12" t="s">
        <v>22</v>
      </c>
      <c r="B5" s="36" t="str">
        <f>_xll.qlFlatForward($B$2,0.03,"actual365fixed")</f>
        <v>欣[test_swap.xlsx]MakeMultipleResetsSwap!R5C2YieldTermStructureHandle,A</v>
      </c>
      <c r="C5" s="22" t="str">
        <f>_xll.qlFlatForward($B$2,0.03,"actual365fixed")</f>
        <v>欣[test_swap.xlsx]MakeMultipleResetsSwap!R5C3YieldTermStructureHandle,A</v>
      </c>
    </row>
    <row r="6" spans="1:3" x14ac:dyDescent="0.3">
      <c r="A6" s="32" t="s">
        <v>174</v>
      </c>
      <c r="B6" s="39" t="str">
        <f>_xll.qlEuribor("6M",B5,$B$2)</f>
        <v>欣[test_swap.xlsx]MakeMultipleResetsSwap!R6C2Euribor,A</v>
      </c>
      <c r="C6" s="17" t="str">
        <f>_xll.qlEuribor("6M",C5,$B$2)</f>
        <v>欣[test_swap.xlsx]MakeMultipleResetsSwap!R6C3Euribor,A</v>
      </c>
    </row>
    <row r="7" spans="1:3" x14ac:dyDescent="0.3">
      <c r="A7" s="31" t="s">
        <v>301</v>
      </c>
      <c r="B7" s="38">
        <v>1</v>
      </c>
      <c r="C7" s="15">
        <v>1</v>
      </c>
    </row>
    <row r="8" spans="1:3" x14ac:dyDescent="0.3">
      <c r="A8" s="31" t="s">
        <v>228</v>
      </c>
      <c r="B8" s="38"/>
      <c r="C8" s="15" t="b">
        <v>1</v>
      </c>
    </row>
    <row r="9" spans="1:3" x14ac:dyDescent="0.3">
      <c r="A9" s="31" t="s">
        <v>229</v>
      </c>
      <c r="B9" s="38"/>
      <c r="C9" s="15" t="s">
        <v>303</v>
      </c>
    </row>
    <row r="10" spans="1:3" x14ac:dyDescent="0.3">
      <c r="A10" s="31" t="s">
        <v>61</v>
      </c>
      <c r="B10" s="38"/>
      <c r="C10" s="15">
        <v>100</v>
      </c>
    </row>
    <row r="11" spans="1:3" x14ac:dyDescent="0.3">
      <c r="A11" s="31" t="s">
        <v>63</v>
      </c>
      <c r="B11" s="38"/>
      <c r="C11" s="15">
        <v>2.5000000000000001E-2</v>
      </c>
    </row>
    <row r="12" spans="1:3" x14ac:dyDescent="0.3">
      <c r="A12" s="31" t="s">
        <v>108</v>
      </c>
      <c r="B12" s="38"/>
      <c r="C12" s="15">
        <v>2</v>
      </c>
    </row>
    <row r="13" spans="1:3" x14ac:dyDescent="0.3">
      <c r="A13" s="31" t="s">
        <v>230</v>
      </c>
      <c r="B13" s="38"/>
      <c r="C13" s="16">
        <v>45665</v>
      </c>
    </row>
    <row r="14" spans="1:3" x14ac:dyDescent="0.3">
      <c r="A14" s="31" t="s">
        <v>231</v>
      </c>
      <c r="B14" s="38"/>
      <c r="C14" s="16">
        <v>46030</v>
      </c>
    </row>
    <row r="15" spans="1:3" x14ac:dyDescent="0.3">
      <c r="A15" s="31" t="s">
        <v>226</v>
      </c>
      <c r="B15" s="38"/>
      <c r="C15" s="15" t="s">
        <v>312</v>
      </c>
    </row>
    <row r="16" spans="1:3" x14ac:dyDescent="0.3">
      <c r="A16" s="31" t="s">
        <v>309</v>
      </c>
      <c r="B16" s="38"/>
      <c r="C16" s="15" t="s">
        <v>310</v>
      </c>
    </row>
    <row r="17" spans="1:3" x14ac:dyDescent="0.3">
      <c r="A17" s="31" t="s">
        <v>241</v>
      </c>
      <c r="B17" s="38"/>
      <c r="C17" s="15" t="s">
        <v>304</v>
      </c>
    </row>
    <row r="18" spans="1:3" x14ac:dyDescent="0.3">
      <c r="A18" s="31" t="s">
        <v>235</v>
      </c>
      <c r="B18" s="38"/>
      <c r="C18" s="15" t="s">
        <v>82</v>
      </c>
    </row>
    <row r="19" spans="1:3" x14ac:dyDescent="0.3">
      <c r="A19" s="31" t="s">
        <v>251</v>
      </c>
      <c r="B19" s="38"/>
      <c r="C19" s="15">
        <v>1E-3</v>
      </c>
    </row>
    <row r="20" spans="1:3" x14ac:dyDescent="0.3">
      <c r="A20" s="31" t="s">
        <v>141</v>
      </c>
      <c r="B20" s="38"/>
      <c r="C20" s="15" t="s">
        <v>305</v>
      </c>
    </row>
    <row r="21" spans="1:3" x14ac:dyDescent="0.3">
      <c r="A21" s="31" t="s">
        <v>252</v>
      </c>
      <c r="B21" s="38"/>
      <c r="C21" s="15" t="str">
        <f>C5</f>
        <v>欣[test_swap.xlsx]MakeMultipleResetsSwap!R5C3YieldTermStructureHandle,A</v>
      </c>
    </row>
    <row r="22" spans="1:3" x14ac:dyDescent="0.3">
      <c r="A22" s="31" t="s">
        <v>253</v>
      </c>
      <c r="B22" s="38"/>
      <c r="C22" s="15" t="str">
        <f>_xll.qlDiscountingSwapEngine(C21,FALSE)</f>
        <v>Error in arg 1 'discount_curve': Cannot convert '欣[test_swap.xlsx]MakeMultipleResetsSwap!R5C3YieldTermStructureHandle,A': Expected cache string</v>
      </c>
    </row>
    <row r="23" spans="1:3" x14ac:dyDescent="0.3">
      <c r="A23" s="18" t="s">
        <v>302</v>
      </c>
      <c r="B23" s="39" t="str">
        <f>_xll.qlMakeMultipleResetsSwap(B4,B6,B7)</f>
        <v>欣[test_swap.xlsx]MakeMultipleResetsSwap!R23C2MultipleResetsSwap,A</v>
      </c>
      <c r="C23" s="17" t="str">
        <f>_xll.qlMakeMultipleResetsSwap(C4,C6,C7,C8,C9,C10,C11,C12,,C14,C15,C16,C17,C18,C19,C20,C21,C22)</f>
        <v>Error in arg 2 'ibor_index': Cannot convert '欣[test_swap.xlsx]MakeMultipleResetsSwap!R6C3Euribor,A': Expected cache string</v>
      </c>
    </row>
    <row r="24" spans="1:3" x14ac:dyDescent="0.3">
      <c r="A24" s="14" t="s">
        <v>22</v>
      </c>
      <c r="B24" s="38" t="str">
        <f>_xll.qlFlatForward(B2,0.03,"actual365fixed")</f>
        <v>欣[test_swap.xlsx]MakeMultipleResetsSwap!R24C2YieldTermStructureHandle,A</v>
      </c>
      <c r="C24" s="15" t="str">
        <f>_xll.qlFlatForward(C2,0.03,"actual365fixed")</f>
        <v>欣[test_swap.xlsx]MakeMultipleResetsSwap!R24C3YieldTermStructureHandle,A</v>
      </c>
    </row>
    <row r="25" spans="1:3" x14ac:dyDescent="0.3">
      <c r="A25" s="28" t="s">
        <v>21</v>
      </c>
      <c r="B25" s="38" t="str">
        <f>_xll.qlDiscountingSwapEngine(B24,FALSE)</f>
        <v>Error in arg 1 'discount_curve': Cannot convert '欣[test_swap.xlsx]MakeMultipleResetsSwap!R24C2YieldTermStructureHandle,A': Expected cache string</v>
      </c>
      <c r="C25" s="15" t="str">
        <f>_xll.qlDiscountingSwapEngine(C24,FALSE)</f>
        <v>Error in arg 1 'discount_curve': Cannot convert '欣[test_swap.xlsx]MakeMultipleResetsSwap!R24C3YieldTermStructureHandle,A': Expected cache string</v>
      </c>
    </row>
    <row r="26" spans="1:3" x14ac:dyDescent="0.3">
      <c r="A26" s="47" t="s">
        <v>296</v>
      </c>
      <c r="B26" s="58" t="str">
        <f>_xll.qlInstrumentSetPricingEngine(B23,B25)</f>
        <v>Error in arg 1 'instrument': Cannot convert '欣[test_swap.xlsx]MakeMultipleResetsSwap!R23C2MultipleResetsSwap,A': Expected cache string</v>
      </c>
      <c r="C26" s="24" t="str">
        <f>_xll.qlInstrumentSetPricingEngine(C23,C25)</f>
        <v>Error in arg 1 'instrument': Cannot convert 'Error in arg 2 'ibor_index': Cannot convert '欣[test_swap.xlsx]MakeMultipleResetsSwap!R6C3Euribor,A': Expected cache string': Expected cache string</v>
      </c>
    </row>
    <row r="27" spans="1:3" x14ac:dyDescent="0.3">
      <c r="A27" s="28" t="s">
        <v>17</v>
      </c>
      <c r="B27" s="38">
        <f>_xll.qlSwapNumberOfLegs(B23)</f>
        <v>2</v>
      </c>
      <c r="C27" s="15" t="str">
        <f>_xll.qlSwapNumberOfLegs(C23)</f>
        <v>Error in arg 1 'swap': Cannot convert 'Error in arg 2 'ibor_index': Cannot convert '欣[test_swap.xlsx]MakeMultipleResetsSwap!R6C3Euribor,A': Expected cache string': Expected cache string</v>
      </c>
    </row>
    <row r="28" spans="1:3" x14ac:dyDescent="0.3">
      <c r="A28" s="23" t="s">
        <v>18</v>
      </c>
      <c r="B28" s="43">
        <f>_xll.qlSwapStartDate(B23)</f>
        <v>45667</v>
      </c>
      <c r="C28" s="25" t="str">
        <f>_xll.qlSwapStartDate(C23)</f>
        <v>Error in arg 1 'swap': Cannot convert 'Error in arg 2 'ibor_index': Cannot convert '欣[test_swap.xlsx]MakeMultipleResetsSwap!R6C3Euribor,A': Expected cache string': Expected cache string</v>
      </c>
    </row>
    <row r="29" spans="1:3" x14ac:dyDescent="0.3">
      <c r="A29" s="28" t="s">
        <v>19</v>
      </c>
      <c r="B29" s="37">
        <f>_xll.qlSwapMaturityDate(B23)</f>
        <v>46034</v>
      </c>
      <c r="C29" s="16" t="str">
        <f>_xll.qlSwapMaturityDate(C23)</f>
        <v>Error in arg 1 'swap': Cannot convert 'Error in arg 2 'ibor_index': Cannot convert '欣[test_swap.xlsx]MakeMultipleResetsSwap!R6C3Euribor,A': Expected cache string': Expected cache string</v>
      </c>
    </row>
    <row r="30" spans="1:3" x14ac:dyDescent="0.3">
      <c r="A30" s="23" t="s">
        <v>219</v>
      </c>
      <c r="B30" s="42" t="str">
        <f>_xll.qlSwapLeg(B23,1)</f>
        <v>欣[test_swap.xlsx]MakeMultipleResetsSwap!R30C2CashFlow,A</v>
      </c>
      <c r="C30" s="24" t="str">
        <f>_xll.qlSwapLeg(C23,1)</f>
        <v>Error in arg 1 'swap': Cannot convert 'Error in arg 2 'ibor_index': Cannot convert '欣[test_swap.xlsx]MakeMultipleResetsSwap!R6C3Euribor,A': Expected cache string': Expected cache string</v>
      </c>
    </row>
    <row r="31" spans="1:3" x14ac:dyDescent="0.3">
      <c r="A31" s="46" t="s">
        <v>220</v>
      </c>
      <c r="B31" s="45" t="str">
        <f>_xll.qlSwapLegNPV(B23,1,B26)</f>
        <v>Error in arg 1 'swap': Cannot convert '欣[test_swap.xlsx]MakeMultipleResetsSwap!R23C2MultipleResetsSwap,A': Expected cache string</v>
      </c>
      <c r="C31" s="27" t="str">
        <f>_xll.qlSwapLegNPV(C23,1,C26)</f>
        <v>Error in arg 1 'swap': Cannot convert 'Error in arg 2 'ibor_index': Cannot convert '欣[test_swap.xlsx]MakeMultipleResetsSwap!R6C3Euribor,A': Expected cache string': Expected cache string</v>
      </c>
    </row>
    <row r="32" spans="1:3" x14ac:dyDescent="0.3">
      <c r="A32" s="44" t="s">
        <v>221</v>
      </c>
      <c r="B32" s="58" t="str">
        <f>_xll.qlSwapLegBPS(B23,1,B26)</f>
        <v>Error in arg 1 'swap': Cannot convert '欣[test_swap.xlsx]MakeMultipleResetsSwap!R23C2MultipleResetsSwap,A': Expected cache string</v>
      </c>
      <c r="C32" s="59" t="str">
        <f>_xll.qlSwapLegBPS(C23,1,C26)</f>
        <v>Error in arg 1 'swap': Cannot convert 'Error in arg 2 'ibor_index': Cannot convert '欣[test_swap.xlsx]MakeMultipleResetsSwap!R6C3Euribor,A': Expected cache string': Expected cache string</v>
      </c>
    </row>
    <row r="33" spans="1:3" x14ac:dyDescent="0.3">
      <c r="A33" s="46" t="s">
        <v>222</v>
      </c>
      <c r="B33" s="45" t="str">
        <f>_xll.qlSwapStartDiscounts(B23,1,B26)</f>
        <v>Error in arg 1 'swap': Cannot convert '欣[test_swap.xlsx]MakeMultipleResetsSwap!R23C2MultipleResetsSwap,A': Expected cache string</v>
      </c>
      <c r="C33" s="27" t="str">
        <f>_xll.qlSwapStartDiscounts(C23,1,C26)</f>
        <v>Error in arg 1 'swap': Cannot convert 'Error in arg 2 'ibor_index': Cannot convert '欣[test_swap.xlsx]MakeMultipleResetsSwap!R6C3Euribor,A': Expected cache string': Expected cache string</v>
      </c>
    </row>
    <row r="34" spans="1:3" x14ac:dyDescent="0.3">
      <c r="A34" s="46" t="s">
        <v>223</v>
      </c>
      <c r="B34" s="45" t="str">
        <f>_xll.qlSwapEndDiscounts(B23,1,B26)</f>
        <v>Error in arg 1 'swap': Cannot convert '欣[test_swap.xlsx]MakeMultipleResetsSwap!R23C2MultipleResetsSwap,A': Expected cache string</v>
      </c>
      <c r="C34" s="27" t="str">
        <f>_xll.qlSwapEndDiscounts(C23,1,C26)</f>
        <v>Error in arg 1 'swap': Cannot convert 'Error in arg 2 'ibor_index': Cannot convert '欣[test_swap.xlsx]MakeMultipleResetsSwap!R6C3Euribor,A': Expected cache string': Expected cache string</v>
      </c>
    </row>
    <row r="35" spans="1:3" x14ac:dyDescent="0.3">
      <c r="A35" s="46" t="s">
        <v>20</v>
      </c>
      <c r="B35" s="45" t="str">
        <f>_xll.qlSwapNpvDateDiscount(B23,B26)</f>
        <v>Error in arg 1 'swap': Cannot convert '欣[test_swap.xlsx]MakeMultipleResetsSwap!R23C2MultipleResetsSwap,A': Expected cache string</v>
      </c>
      <c r="C35" s="27" t="str">
        <f>_xll.qlSwapNpvDateDiscount(C23,C26)</f>
        <v>Error in arg 1 'swap': Cannot convert 'Error in arg 2 'ibor_index': Cannot convert '欣[test_swap.xlsx]MakeMultipleResetsSwap!R6C3Euribor,A': Expected cache string': Expected cache string</v>
      </c>
    </row>
    <row r="36" spans="1:3" x14ac:dyDescent="0.3">
      <c r="A36" s="44" t="s">
        <v>218</v>
      </c>
      <c r="B36" s="42" t="b">
        <f>_xll.qlSwapPayer(B23,0)</f>
        <v>1</v>
      </c>
      <c r="C36" s="24" t="str">
        <f>_xll.qlSwapPayer(C23,0)</f>
        <v>Error in arg 1 'swap': Cannot convert 'Error in arg 2 'ibor_index': Cannot convert '欣[test_swap.xlsx]MakeMultipleResetsSwap!R6C3Euribor,A': Expected cache string': Expected cache string</v>
      </c>
    </row>
    <row r="37" spans="1:3" x14ac:dyDescent="0.3">
      <c r="A37" s="28" t="s">
        <v>306</v>
      </c>
      <c r="B37" s="38" t="str">
        <f>_xll.qlMultipleResetsSwapFullResetSchedule(B23)</f>
        <v>欣[test_swap.xlsx]MakeMultipleResetsSwap!R37C2Schedule,A</v>
      </c>
      <c r="C37" s="15" t="str">
        <f>_xll.qlMultipleResetsSwapFullResetSchedule(C23)</f>
        <v>Error in arg 1 'swap': Cannot convert 'Error in arg 2 'ibor_index': Cannot convert '欣[test_swap.xlsx]MakeMultipleResetsSwap!R6C3Euribor,A': Expected cache string': Expected cache string</v>
      </c>
    </row>
    <row r="38" spans="1:3" x14ac:dyDescent="0.3">
      <c r="A38" s="23" t="s">
        <v>307</v>
      </c>
      <c r="B38" s="42">
        <f>_xll.qlMultipleResetsSwapResetsPerCoupon(B23)</f>
        <v>1</v>
      </c>
      <c r="C38" s="24" t="str">
        <f>_xll.qlMultipleResetsSwapResetsPerCoupon(C23)</f>
        <v>Error in arg 1 'swap': Cannot convert 'Error in arg 2 'ibor_index': Cannot convert '欣[test_swap.xlsx]MakeMultipleResetsSwap!R6C3Euribor,A': Expected cache string': Expected cache string</v>
      </c>
    </row>
    <row r="39" spans="1:3" x14ac:dyDescent="0.3">
      <c r="A39" s="28" t="s">
        <v>308</v>
      </c>
      <c r="B39" s="38" t="str">
        <f>_xll.qlMultipleResetsSwapAveragingMethod(B23)</f>
        <v>COMPOUND</v>
      </c>
      <c r="C39" s="15" t="str">
        <f>_xll.qlMultipleResetsSwapAveragingMethod(C23)</f>
        <v>Error in arg 1 'swap': Cannot convert 'Error in arg 2 'ibor_index': Cannot convert '欣[test_swap.xlsx]MakeMultipleResetsSwap!R6C3Euribor,A': Expected cache string': Expected cache string</v>
      </c>
    </row>
    <row r="40" spans="1:3" x14ac:dyDescent="0.3">
      <c r="A40" s="23" t="s">
        <v>275</v>
      </c>
      <c r="B40" s="42" t="str">
        <f>_xll.qlFixedVsFloatingSwapType(B23)</f>
        <v>PAYER</v>
      </c>
      <c r="C40" s="24" t="str">
        <f>_xll.qlFixedVsFloatingSwapType(C23)</f>
        <v>Error in arg 1 'swap': Cannot convert 'Error in arg 2 'ibor_index': Cannot convert '欣[test_swap.xlsx]MakeMultipleResetsSwap!R6C3Euribor,A': Expected cache string': Expected cache string</v>
      </c>
    </row>
    <row r="41" spans="1:3" x14ac:dyDescent="0.3">
      <c r="A41" s="28" t="s">
        <v>276</v>
      </c>
      <c r="B41" s="38">
        <f>_xll.qlFixedVsFloatingSwapNominal(B23)</f>
        <v>1</v>
      </c>
      <c r="C41" s="15"/>
    </row>
    <row r="42" spans="1:3" x14ac:dyDescent="0.3">
      <c r="A42" s="44" t="s">
        <v>277</v>
      </c>
      <c r="B42" s="42">
        <f>_xll.qlFixedVsFloatingSwapNominals(B23)</f>
        <v>1</v>
      </c>
      <c r="C42" s="24"/>
    </row>
    <row r="43" spans="1:3" x14ac:dyDescent="0.3">
      <c r="A43" s="46" t="s">
        <v>278</v>
      </c>
      <c r="B43" s="38">
        <f>_xll.qlFixedVsFloatingSwapFixedNominals(B23)</f>
        <v>1</v>
      </c>
      <c r="C43" s="15" t="str">
        <f>_xll.qlFixedVsFloatingSwapFixedNominals(C23)</f>
        <v>Error in arg 1 'swap': Cannot convert 'Error in arg 2 'ibor_index': Cannot convert '欣[test_swap.xlsx]MakeMultipleResetsSwap!R6C3Euribor,A': Expected cache string': Expected cache string</v>
      </c>
    </row>
    <row r="44" spans="1:3" x14ac:dyDescent="0.3">
      <c r="A44" s="44" t="s">
        <v>279</v>
      </c>
      <c r="B44" s="42" t="str">
        <f>_xll.qlFixedVsFloatingSwapFixedSchedule(B23)</f>
        <v>欣[test_swap.xlsx]MakeMultipleResetsSwap!R44C2Schedule,A</v>
      </c>
      <c r="C44" s="24" t="str">
        <f>_xll.qlFixedVsFloatingSwapFixedSchedule(C23)</f>
        <v>Error in arg 1 'swap': Cannot convert 'Error in arg 2 'ibor_index': Cannot convert '欣[test_swap.xlsx]MakeMultipleResetsSwap!R6C3Euribor,A': Expected cache string': Expected cache string</v>
      </c>
    </row>
    <row r="45" spans="1:3" x14ac:dyDescent="0.3">
      <c r="A45" s="46" t="s">
        <v>280</v>
      </c>
      <c r="B45" s="38">
        <f>_xll.qlFixedVsFloatingSwapFixedRate(B23)</f>
        <v>2.9812657176499266E-2</v>
      </c>
      <c r="C45" s="15" t="str">
        <f>_xll.qlFixedVsFloatingSwapFixedRate(C23)</f>
        <v>Error in arg 1 'swap': Cannot convert 'Error in arg 2 'ibor_index': Cannot convert '欣[test_swap.xlsx]MakeMultipleResetsSwap!R6C3Euribor,A': Expected cache string': Expected cache string</v>
      </c>
    </row>
    <row r="46" spans="1:3" x14ac:dyDescent="0.3">
      <c r="A46" s="44" t="s">
        <v>281</v>
      </c>
      <c r="B46" s="42" t="str">
        <f>_xll.qlFixedVsFloatingSwapFixedDayCount(B23)</f>
        <v>Actual/360</v>
      </c>
      <c r="C46" s="24" t="str">
        <f>_xll.qlFixedVsFloatingSwapFixedDayCount(C23)</f>
        <v>Error in arg 1 'swap': Cannot convert 'Error in arg 2 'ibor_index': Cannot convert '欣[test_swap.xlsx]MakeMultipleResetsSwap!R6C3Euribor,A': Expected cache string': Expected cache string</v>
      </c>
    </row>
    <row r="47" spans="1:3" x14ac:dyDescent="0.3">
      <c r="A47" s="46" t="s">
        <v>282</v>
      </c>
      <c r="B47" s="38">
        <f>_xll.qlFixedVsFloatingSwapFloatingNominals(B23)</f>
        <v>1</v>
      </c>
      <c r="C47" s="15" t="str">
        <f>_xll.qlFixedVsFloatingSwapFloatingNominals(C23)</f>
        <v>Error in arg 1 'swap': Cannot convert 'Error in arg 2 'ibor_index': Cannot convert '欣[test_swap.xlsx]MakeMultipleResetsSwap!R6C3Euribor,A': Expected cache string': Expected cache string</v>
      </c>
    </row>
    <row r="48" spans="1:3" x14ac:dyDescent="0.3">
      <c r="A48" s="23" t="s">
        <v>284</v>
      </c>
      <c r="B48" s="42" t="str">
        <f>_xll.qlFixedVsFloatingSwapFloatingSchedule(B23)</f>
        <v>欣[test_swap.xlsx]MakeMultipleResetsSwap!R48C2Schedule,A</v>
      </c>
      <c r="C48" s="24" t="str">
        <f>_xll.qlFixedVsFloatingSwapFloatingSchedule(C23)</f>
        <v>Error in arg 1 'swap': Cannot convert 'Error in arg 2 'ibor_index': Cannot convert '欣[test_swap.xlsx]MakeMultipleResetsSwap!R6C3Euribor,A': Expected cache string': Expected cache string</v>
      </c>
    </row>
    <row r="49" spans="1:3" x14ac:dyDescent="0.3">
      <c r="A49" s="28" t="s">
        <v>283</v>
      </c>
      <c r="B49" s="38" t="str">
        <f>_xll.qlFixedVsFloatingSwapIborIndex(B23)</f>
        <v>欣[test_swap.xlsx]MakeMultipleResetsSwap!R49C2IborIndex,A</v>
      </c>
      <c r="C49" s="15" t="str">
        <f>_xll.qlFixedVsFloatingSwapIborIndex(C23)</f>
        <v>Error in arg 1 'swap': Cannot convert 'Error in arg 2 'ibor_index': Cannot convert '欣[test_swap.xlsx]MakeMultipleResetsSwap!R6C3Euribor,A': Expected cache string': Expected cache string</v>
      </c>
    </row>
    <row r="50" spans="1:3" x14ac:dyDescent="0.3">
      <c r="A50" s="23" t="s">
        <v>285</v>
      </c>
      <c r="B50" s="42">
        <f>_xll.qlFixedVsFloatingSwapSpread(B23)</f>
        <v>0</v>
      </c>
      <c r="C50" s="24" t="str">
        <f>_xll.qlFixedVsFloatingSwapSpread(C23)</f>
        <v>Error in arg 1 'swap': Cannot convert 'Error in arg 2 'ibor_index': Cannot convert '欣[test_swap.xlsx]MakeMultipleResetsSwap!R6C3Euribor,A': Expected cache string': Expected cache string</v>
      </c>
    </row>
    <row r="51" spans="1:3" x14ac:dyDescent="0.3">
      <c r="A51" s="28" t="s">
        <v>286</v>
      </c>
      <c r="B51" s="38" t="str">
        <f>_xll.qlFixedVsFloatingSwapFloatingDayCount(B23)</f>
        <v>Actual/360</v>
      </c>
      <c r="C51" s="15" t="str">
        <f>_xll.qlFixedVsFloatingSwapFloatingDayCount(C23)</f>
        <v>Error in arg 1 'swap': Cannot convert 'Error in arg 2 'ibor_index': Cannot convert '欣[test_swap.xlsx]MakeMultipleResetsSwap!R6C3Euribor,A': Expected cache string': Expected cache string</v>
      </c>
    </row>
    <row r="52" spans="1:3" x14ac:dyDescent="0.3">
      <c r="A52" s="23" t="s">
        <v>287</v>
      </c>
      <c r="B52" s="42" t="str">
        <f>_xll.qlFixedVsFloatingSwapPaymentConvention(B23)</f>
        <v>UNADJUSTED</v>
      </c>
      <c r="C52" s="24" t="str">
        <f>_xll.qlFixedVsFloatingSwapPaymentConvention(C23)</f>
        <v>Error in arg 1 'swap': Cannot convert 'Error in arg 2 'ibor_index': Cannot convert '欣[test_swap.xlsx]MakeMultipleResetsSwap!R6C3Euribor,A': Expected cache string': Expected cache string</v>
      </c>
    </row>
    <row r="53" spans="1:3" x14ac:dyDescent="0.3">
      <c r="A53" s="28" t="s">
        <v>288</v>
      </c>
      <c r="B53" s="38" t="str">
        <f>_xll.qlFixedVsFloatingSwapFixedLeg(B23)</f>
        <v>欣[test_swap.xlsx]MakeMultipleResetsSwap!R53C2CashFlow,A</v>
      </c>
      <c r="C53" s="15" t="str">
        <f>_xll.qlFixedVsFloatingSwapFixedLeg(C23)</f>
        <v>Error in arg 1 'swap': Cannot convert 'Error in arg 2 'ibor_index': Cannot convert '欣[test_swap.xlsx]MakeMultipleResetsSwap!R6C3Euribor,A': Expected cache string': Expected cache string</v>
      </c>
    </row>
    <row r="54" spans="1:3" x14ac:dyDescent="0.3">
      <c r="A54" s="23" t="s">
        <v>289</v>
      </c>
      <c r="B54" s="42" t="str">
        <f>_xll.qlFixedVsFloatingSwapFloatingLeg(B23)</f>
        <v>欣[test_swap.xlsx]MakeMultipleResetsSwap!R54C2CashFlow,A</v>
      </c>
      <c r="C54" s="24" t="str">
        <f>_xll.qlFixedVsFloatingSwapFloatingLeg(C23)</f>
        <v>Error in arg 1 'swap': Cannot convert 'Error in arg 2 'ibor_index': Cannot convert '欣[test_swap.xlsx]MakeMultipleResetsSwap!R6C3Euribor,A': Expected cache string': Expected cache string</v>
      </c>
    </row>
    <row r="55" spans="1:3" x14ac:dyDescent="0.3">
      <c r="A55" s="28" t="s">
        <v>290</v>
      </c>
      <c r="B55" s="38">
        <f>_xll.qlFixedVsFloatingSwapFixedLegBPS(B23)</f>
        <v>-9.9662741447733067E-5</v>
      </c>
      <c r="C55" s="15" t="str">
        <f>_xll.qlFixedVsFloatingSwapFixedLegBPS(C23)</f>
        <v>Error in arg 1 'swap': Cannot convert 'Error in arg 2 'ibor_index': Cannot convert '欣[test_swap.xlsx]MakeMultipleResetsSwap!R6C3Euribor,A': Expected cache string': Expected cache string</v>
      </c>
    </row>
    <row r="56" spans="1:3" x14ac:dyDescent="0.3">
      <c r="A56" s="23" t="s">
        <v>291</v>
      </c>
      <c r="B56" s="42">
        <f>_xll.qlFixedVsFloatingSwapFixedLegNPV(B23)</f>
        <v>-2.9712111440513354E-2</v>
      </c>
      <c r="C56" s="24" t="str">
        <f>_xll.qlFixedVsFloatingSwapFixedLegNPV(C23)</f>
        <v>Error in arg 1 'swap': Cannot convert 'Error in arg 2 'ibor_index': Cannot convert '欣[test_swap.xlsx]MakeMultipleResetsSwap!R6C3Euribor,A': Expected cache string': Expected cache string</v>
      </c>
    </row>
    <row r="57" spans="1:3" x14ac:dyDescent="0.3">
      <c r="A57" s="28" t="s">
        <v>292</v>
      </c>
      <c r="B57" s="38">
        <f>_xll.qlFixedVsFloatingSwapFairRate(B23)</f>
        <v>2.9812657176499412E-2</v>
      </c>
      <c r="C57" s="15" t="str">
        <f>_xll.qlFixedVsFloatingSwapFairRate(C23)</f>
        <v>Error in arg 1 'swap': Cannot convert 'Error in arg 2 'ibor_index': Cannot convert '欣[test_swap.xlsx]MakeMultipleResetsSwap!R6C3Euribor,A': Expected cache string': Expected cache string</v>
      </c>
    </row>
    <row r="58" spans="1:3" x14ac:dyDescent="0.3">
      <c r="A58" s="23" t="s">
        <v>293</v>
      </c>
      <c r="B58" s="42">
        <f>_xll.qlFixedVsFloatingSwapFloatingLegBPS(B23)</f>
        <v>9.9662741447733067E-5</v>
      </c>
      <c r="C58" s="24" t="str">
        <f>_xll.qlFixedVsFloatingSwapFloatingLegBPS(C23)</f>
        <v>Error in arg 1 'swap': Cannot convert 'Error in arg 2 'ibor_index': Cannot convert '欣[test_swap.xlsx]MakeMultipleResetsSwap!R6C3Euribor,A': Expected cache string': Expected cache string</v>
      </c>
    </row>
    <row r="59" spans="1:3" x14ac:dyDescent="0.3">
      <c r="A59" s="28" t="s">
        <v>294</v>
      </c>
      <c r="B59" s="38">
        <f>_xll.qlFixedVsFloatingSwapFloatingLegNPV(B23)</f>
        <v>2.97121114405135E-2</v>
      </c>
      <c r="C59" s="15" t="str">
        <f>_xll.qlFixedVsFloatingSwapFloatingLegNPV(C23)</f>
        <v>Error in arg 1 'swap': Cannot convert 'Error in arg 2 'ibor_index': Cannot convert '欣[test_swap.xlsx]MakeMultipleResetsSwap!R6C3Euribor,A': Expected cache string': Expected cache string</v>
      </c>
    </row>
    <row r="60" spans="1:3" x14ac:dyDescent="0.3">
      <c r="A60" s="23" t="s">
        <v>295</v>
      </c>
      <c r="B60" s="42">
        <f>_xll.qlFixedVsFloatingSwapFairSpread(B23)</f>
        <v>-1.4620987729749661E-16</v>
      </c>
      <c r="C60" s="24" t="str">
        <f>_xll.qlFixedVsFloatingSwapFairSpread(C23)</f>
        <v>Error in arg 1 'swap': Cannot convert 'Error in arg 2 'ibor_index': Cannot convert '欣[test_swap.xlsx]MakeMultipleResetsSwap!R6C3Euribor,A': Expected cache string': Expected cache string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9520A-8440-49F9-A06C-6AC749D68422}">
  <dimension ref="A1:C1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5" customWidth="1"/>
    <col min="2" max="2" width="77.33203125" style="4" customWidth="1"/>
    <col min="3" max="3" width="78.88671875" style="4" customWidth="1"/>
  </cols>
  <sheetData>
    <row r="1" spans="1:3" x14ac:dyDescent="0.3">
      <c r="A1" t="s">
        <v>13</v>
      </c>
      <c r="B1" s="2">
        <v>45665</v>
      </c>
    </row>
    <row r="2" spans="1:3" x14ac:dyDescent="0.3">
      <c r="A2" t="s">
        <v>14</v>
      </c>
      <c r="B2" s="2">
        <f>_xll.qlSettingsSetEvaluationDate(B1)</f>
        <v>45665</v>
      </c>
    </row>
    <row r="4" spans="1:3" x14ac:dyDescent="0.3">
      <c r="A4" s="30" t="s">
        <v>161</v>
      </c>
      <c r="B4" s="36" t="s">
        <v>163</v>
      </c>
      <c r="C4" s="22" t="s">
        <v>167</v>
      </c>
    </row>
    <row r="5" spans="1:3" x14ac:dyDescent="0.3">
      <c r="A5" s="31" t="s">
        <v>44</v>
      </c>
      <c r="B5" s="38" t="s">
        <v>164</v>
      </c>
      <c r="C5" s="15" t="s">
        <v>164</v>
      </c>
    </row>
    <row r="6" spans="1:3" x14ac:dyDescent="0.3">
      <c r="A6" s="31" t="s">
        <v>108</v>
      </c>
      <c r="B6" s="38">
        <v>2</v>
      </c>
      <c r="C6" s="15">
        <v>2</v>
      </c>
    </row>
    <row r="7" spans="1:3" x14ac:dyDescent="0.3">
      <c r="A7" s="31" t="s">
        <v>162</v>
      </c>
      <c r="B7" s="38" t="s">
        <v>165</v>
      </c>
      <c r="C7" s="15" t="s">
        <v>165</v>
      </c>
    </row>
    <row r="8" spans="1:3" x14ac:dyDescent="0.3">
      <c r="A8" s="31" t="s">
        <v>159</v>
      </c>
      <c r="B8" s="38" t="str">
        <f>_xll.qlEstr()</f>
        <v>欣[test_swap.xlsx]OvernightIndexedSwapIndex!R8C2Estr,A</v>
      </c>
      <c r="C8" s="15" t="str">
        <f>_xll.qlEstr()</f>
        <v>欣[test_swap.xlsx]OvernightIndexedSwapIndex!R8C3Estr,A</v>
      </c>
    </row>
    <row r="9" spans="1:3" x14ac:dyDescent="0.3">
      <c r="A9" s="31" t="s">
        <v>140</v>
      </c>
      <c r="B9" s="38"/>
      <c r="C9" s="15" t="b">
        <v>1</v>
      </c>
    </row>
    <row r="10" spans="1:3" x14ac:dyDescent="0.3">
      <c r="A10" s="31" t="s">
        <v>141</v>
      </c>
      <c r="B10" s="38"/>
      <c r="C10" s="15" t="s">
        <v>146</v>
      </c>
    </row>
    <row r="11" spans="1:3" x14ac:dyDescent="0.3">
      <c r="A11" s="18" t="s">
        <v>166</v>
      </c>
      <c r="B11" s="39" t="str">
        <f>_xll.qlOvernightIndexedSwapIndex(B4,B5,B6,B7,B8)</f>
        <v>欣[test_swap.xlsx]OvernightIndexedSwapIndex!R11C2OvernightIndexedSwapIndex,A</v>
      </c>
      <c r="C11" s="17" t="str">
        <f>_xll.qlOvernightIndexedSwapIndex(C4,C5,C6,C7,C8,C9,C10)</f>
        <v>欣[test_swap.xlsx]OvernightIndexedSwapIndex!R11C3OvernightIndexedSwapIndex,A</v>
      </c>
    </row>
    <row r="12" spans="1:3" x14ac:dyDescent="0.3">
      <c r="A12" s="28" t="s">
        <v>168</v>
      </c>
      <c r="B12" s="38" t="str">
        <f>_xll.qlOvernightIndexedSwapIndexOvernightIndex(B11)</f>
        <v>欣[test_swap.xlsx]OvernightIndexedSwapIndex!R12C2OvernightIndex,A</v>
      </c>
      <c r="C12" s="15" t="str">
        <f>_xll.qlOvernightIndexedSwapIndexOvernightIndex(C11)</f>
        <v>欣[test_swap.xlsx]OvernightIndexedSwapIndex!R12C3OvernightIndex,A</v>
      </c>
    </row>
    <row r="13" spans="1:3" x14ac:dyDescent="0.3">
      <c r="A13" s="12" t="s">
        <v>170</v>
      </c>
      <c r="B13" s="72">
        <v>45667</v>
      </c>
      <c r="C13" s="13">
        <v>45667</v>
      </c>
    </row>
    <row r="14" spans="1:3" x14ac:dyDescent="0.3">
      <c r="A14" s="18" t="s">
        <v>169</v>
      </c>
      <c r="B14" s="39" t="str">
        <f>_xll.qlOvernightIndexedSwapIndexUnderlyingSwap(B11,B13)</f>
        <v>欣[test_swap.xlsx]OvernightIndexedSwapIndex!R14C2OvernightIndexedSwap,A</v>
      </c>
      <c r="C14" s="17" t="str">
        <f>_xll.qlOvernightIndexedSwapIndexUnderlyingSwap(C11,C13)</f>
        <v>欣[test_swap.xlsx]OvernightIndexedSwapIndex!R14C3OvernightIndexedSwap,A</v>
      </c>
    </row>
    <row r="16" spans="1:3" x14ac:dyDescent="0.3">
      <c r="B16" s="2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09193-B72D-4A7A-A3F3-F30EC1220D65}">
  <dimension ref="A1:C7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7.33203125" customWidth="1"/>
    <col min="2" max="3" width="66.88671875" style="4" customWidth="1"/>
  </cols>
  <sheetData>
    <row r="1" spans="1:3" x14ac:dyDescent="0.3">
      <c r="A1" s="30" t="s">
        <v>13</v>
      </c>
      <c r="B1" s="13">
        <v>45665</v>
      </c>
    </row>
    <row r="2" spans="1:3" x14ac:dyDescent="0.3">
      <c r="A2" s="32" t="s">
        <v>14</v>
      </c>
      <c r="B2" s="35">
        <f>_xll.qlSettingsSetEvaluationDate(B1)</f>
        <v>45665</v>
      </c>
    </row>
    <row r="4" spans="1:3" x14ac:dyDescent="0.3">
      <c r="A4" s="30" t="s">
        <v>60</v>
      </c>
      <c r="B4" s="36" t="s">
        <v>58</v>
      </c>
      <c r="C4" s="22" t="s">
        <v>58</v>
      </c>
    </row>
    <row r="5" spans="1:3" x14ac:dyDescent="0.3">
      <c r="A5" s="31" t="s">
        <v>171</v>
      </c>
      <c r="B5" s="38">
        <v>100</v>
      </c>
      <c r="C5" s="15">
        <v>100</v>
      </c>
    </row>
    <row r="6" spans="1:3" x14ac:dyDescent="0.3">
      <c r="A6" s="31" t="s">
        <v>172</v>
      </c>
      <c r="B6" s="37">
        <v>45667</v>
      </c>
      <c r="C6" s="16">
        <v>45667</v>
      </c>
    </row>
    <row r="7" spans="1:3" x14ac:dyDescent="0.3">
      <c r="A7" s="31" t="s">
        <v>111</v>
      </c>
      <c r="B7" s="37">
        <v>46032</v>
      </c>
      <c r="C7" s="16">
        <v>46032</v>
      </c>
    </row>
    <row r="8" spans="1:3" x14ac:dyDescent="0.3">
      <c r="A8" s="31" t="s">
        <v>173</v>
      </c>
      <c r="B8" s="38">
        <v>5</v>
      </c>
      <c r="C8" s="15">
        <v>5</v>
      </c>
    </row>
    <row r="9" spans="1:3" x14ac:dyDescent="0.3">
      <c r="A9" s="70" t="s">
        <v>22</v>
      </c>
      <c r="B9" s="36" t="str">
        <f>_xll.qlFlatForward(B2,0.03,"actual365fixed")</f>
        <v>欣[test_swap.xlsx]ZeroCouponSwap!R9C2YieldTermStructureHandle,A</v>
      </c>
      <c r="C9" s="22" t="str">
        <f>_xll.qlFlatForward(B2,0.03,"actual365fixed")</f>
        <v>欣[test_swap.xlsx]ZeroCouponSwap!R9C3YieldTermStructureHandle,A</v>
      </c>
    </row>
    <row r="10" spans="1:3" x14ac:dyDescent="0.3">
      <c r="A10" s="32" t="s">
        <v>174</v>
      </c>
      <c r="B10" s="39" t="str">
        <f>_xll.qlEuribor("12M",B9,B2)</f>
        <v>欣[test_swap.xlsx]ZeroCouponSwap!R10C2Euribor,A</v>
      </c>
      <c r="C10" s="17" t="str">
        <f>_xll.qlEuribor("12M",C9,B2)</f>
        <v>欣[test_swap.xlsx]ZeroCouponSwap!R10C3Euribor,A</v>
      </c>
    </row>
    <row r="11" spans="1:3" x14ac:dyDescent="0.3">
      <c r="A11" s="31" t="s">
        <v>139</v>
      </c>
      <c r="B11" s="38" t="str">
        <f>_xll.qlCalendar("TARGET")</f>
        <v>TARGET</v>
      </c>
      <c r="C11" s="15" t="str">
        <f>_xll.qlCalendar("TARGET")</f>
        <v>TARGET</v>
      </c>
    </row>
    <row r="12" spans="1:3" x14ac:dyDescent="0.3">
      <c r="A12" s="31" t="s">
        <v>69</v>
      </c>
      <c r="B12" s="38"/>
      <c r="C12" s="15" t="s">
        <v>82</v>
      </c>
    </row>
    <row r="13" spans="1:3" x14ac:dyDescent="0.3">
      <c r="A13" s="31" t="s">
        <v>175</v>
      </c>
      <c r="B13" s="38"/>
      <c r="C13" s="15">
        <v>1</v>
      </c>
    </row>
    <row r="14" spans="1:3" x14ac:dyDescent="0.3">
      <c r="A14" s="18" t="s">
        <v>176</v>
      </c>
      <c r="B14" s="39" t="str">
        <f>_xll.qlZeroCouponSwap(B4,B5,B6,B7,B8,B10,B11)</f>
        <v>欣[test_swap.xlsx]ZeroCouponSwap!R14C2ZeroCouponSwap,A</v>
      </c>
      <c r="C14" s="17" t="str">
        <f>_xll.qlZeroCouponSwap(C4,C5,C6,C7,C8,C10,C11,C12,C13)</f>
        <v>欣[test_swap.xlsx]ZeroCouponSwap!R14C3ZeroCouponSwap,A</v>
      </c>
    </row>
    <row r="15" spans="1:3" x14ac:dyDescent="0.3">
      <c r="A15" s="14" t="s">
        <v>22</v>
      </c>
      <c r="B15" s="38" t="str">
        <f>_xll.qlFlatForward(B2,0.03,"actual365fixed")</f>
        <v>欣[test_swap.xlsx]ZeroCouponSwap!R15C2YieldTermStructureHandle,A</v>
      </c>
      <c r="C15" s="15" t="str">
        <f>_xll.qlFlatForward(B2,0.03,"actual365fixed")</f>
        <v>欣[test_swap.xlsx]ZeroCouponSwap!R15C3YieldTermStructureHandle,A</v>
      </c>
    </row>
    <row r="16" spans="1:3" x14ac:dyDescent="0.3">
      <c r="A16" s="28" t="s">
        <v>21</v>
      </c>
      <c r="B16" s="38" t="str">
        <f>_xll.qlDiscountingSwapEngine(B15,FALSE)</f>
        <v>Error in arg 1 'discount_curve': Cannot convert '欣[test_swap.xlsx]ZeroCouponSwap!R15C2YieldTermStructureHandle,A': Expected cache string</v>
      </c>
      <c r="C16" s="15" t="str">
        <f>_xll.qlDiscountingSwapEngine(C15,FALSE)</f>
        <v>Error in arg 1 'discount_curve': Cannot convert '欣[test_swap.xlsx]ZeroCouponSwap!R15C3YieldTermStructureHandle,A': Expected cache string</v>
      </c>
    </row>
    <row r="17" spans="1:3" x14ac:dyDescent="0.3">
      <c r="A17" s="47" t="s">
        <v>296</v>
      </c>
      <c r="B17" s="58" t="str">
        <f>_xll.qlInstrumentSetPricingEngine(B14,B16)</f>
        <v>Error in arg 1 'instrument': Cannot convert '欣[test_swap.xlsx]ZeroCouponSwap!R14C2ZeroCouponSwap,A': Expected cache string</v>
      </c>
      <c r="C17" s="24" t="str">
        <f>_xll.qlInstrumentSetPricingEngine(C14,C16)</f>
        <v>Error in arg 1 'instrument': Cannot convert '欣[test_swap.xlsx]ZeroCouponSwap!R14C3ZeroCouponSwap,A': Expected cache string</v>
      </c>
    </row>
    <row r="18" spans="1:3" x14ac:dyDescent="0.3">
      <c r="A18" s="28" t="s">
        <v>17</v>
      </c>
      <c r="B18" s="38">
        <f>_xll.qlSwapNumberOfLegs(B14)</f>
        <v>2</v>
      </c>
      <c r="C18" s="15">
        <f>_xll.qlSwapNumberOfLegs(C14)</f>
        <v>2</v>
      </c>
    </row>
    <row r="19" spans="1:3" x14ac:dyDescent="0.3">
      <c r="A19" s="23" t="s">
        <v>18</v>
      </c>
      <c r="B19" s="43">
        <f>_xll.qlSwapStartDate(B14)</f>
        <v>45667</v>
      </c>
      <c r="C19" s="25">
        <f>_xll.qlSwapStartDate(C14)</f>
        <v>45667</v>
      </c>
    </row>
    <row r="20" spans="1:3" x14ac:dyDescent="0.3">
      <c r="A20" s="28" t="s">
        <v>19</v>
      </c>
      <c r="B20" s="37">
        <f>_xll.qlSwapMaturityDate(B14)</f>
        <v>46032</v>
      </c>
      <c r="C20" s="16">
        <f>_xll.qlSwapMaturityDate(C14)</f>
        <v>46032</v>
      </c>
    </row>
    <row r="21" spans="1:3" x14ac:dyDescent="0.3">
      <c r="A21" s="23" t="s">
        <v>219</v>
      </c>
      <c r="B21" s="42" t="str">
        <f>_xll.qlSwapLeg(B14,1)</f>
        <v>欣[test_swap.xlsx]ZeroCouponSwap!R21C2CashFlow,A</v>
      </c>
      <c r="C21" s="24" t="str">
        <f>_xll.qlSwapLeg(C14,1)</f>
        <v>欣[test_swap.xlsx]ZeroCouponSwap!R21C3CashFlow,A</v>
      </c>
    </row>
    <row r="22" spans="1:3" x14ac:dyDescent="0.3">
      <c r="A22" s="28" t="s">
        <v>220</v>
      </c>
      <c r="B22" s="38" t="str">
        <f>_xll.qlSwapLegNPV(B14,1,B17)</f>
        <v>Error in arg 1 'swap': Cannot convert '欣[test_swap.xlsx]ZeroCouponSwap!R14C2ZeroCouponSwap,A': Expected cache string</v>
      </c>
      <c r="C22" s="15" t="str">
        <f>_xll.qlSwapLegNPV(C14,1,C17)</f>
        <v>Error in arg 1 'swap': Cannot convert '欣[test_swap.xlsx]ZeroCouponSwap!R14C3ZeroCouponSwap,A': Expected cache string</v>
      </c>
    </row>
    <row r="23" spans="1:3" x14ac:dyDescent="0.3">
      <c r="A23" s="23" t="s">
        <v>221</v>
      </c>
      <c r="B23" s="42" t="str">
        <f>_xll.qlSwapLegBPS(B14,1,B17)</f>
        <v>Error in arg 1 'swap': Cannot convert '欣[test_swap.xlsx]ZeroCouponSwap!R14C2ZeroCouponSwap,A': Expected cache string</v>
      </c>
      <c r="C23" s="24" t="str">
        <f>_xll.qlSwapLegBPS(C14,1,C17)</f>
        <v>Error in arg 1 'swap': Cannot convert '欣[test_swap.xlsx]ZeroCouponSwap!R14C3ZeroCouponSwap,A': Expected cache string</v>
      </c>
    </row>
    <row r="24" spans="1:3" x14ac:dyDescent="0.3">
      <c r="A24" s="28" t="s">
        <v>222</v>
      </c>
      <c r="B24" s="38" t="str">
        <f>_xll.qlSwapStartDiscounts(B14,1,B17)</f>
        <v>Error in arg 1 'swap': Cannot convert '欣[test_swap.xlsx]ZeroCouponSwap!R14C2ZeroCouponSwap,A': Expected cache string</v>
      </c>
      <c r="C24" s="15" t="str">
        <f>_xll.qlSwapStartDiscounts(C14,1,C17)</f>
        <v>Error in arg 1 'swap': Cannot convert '欣[test_swap.xlsx]ZeroCouponSwap!R14C3ZeroCouponSwap,A': Expected cache string</v>
      </c>
    </row>
    <row r="25" spans="1:3" x14ac:dyDescent="0.3">
      <c r="A25" s="23" t="s">
        <v>223</v>
      </c>
      <c r="B25" s="42" t="str">
        <f>_xll.qlSwapEndDiscounts(B14,1,B17)</f>
        <v>Error in arg 1 'swap': Cannot convert '欣[test_swap.xlsx]ZeroCouponSwap!R14C2ZeroCouponSwap,A': Expected cache string</v>
      </c>
      <c r="C25" s="24" t="str">
        <f>_xll.qlSwapEndDiscounts(C14,1,C17)</f>
        <v>Error in arg 1 'swap': Cannot convert '欣[test_swap.xlsx]ZeroCouponSwap!R14C3ZeroCouponSwap,A': Expected cache string</v>
      </c>
    </row>
    <row r="26" spans="1:3" x14ac:dyDescent="0.3">
      <c r="A26" s="28" t="s">
        <v>20</v>
      </c>
      <c r="B26" s="38" t="str">
        <f>_xll.qlSwapNpvDateDiscount(B14,B17)</f>
        <v>Error in arg 1 'swap': Cannot convert '欣[test_swap.xlsx]ZeroCouponSwap!R14C2ZeroCouponSwap,A': Expected cache string</v>
      </c>
      <c r="C26" s="15" t="str">
        <f>_xll.qlSwapNpvDateDiscount(C14,C17)</f>
        <v>Error in arg 1 'swap': Cannot convert '欣[test_swap.xlsx]ZeroCouponSwap!R14C3ZeroCouponSwap,A': Expected cache string</v>
      </c>
    </row>
    <row r="27" spans="1:3" x14ac:dyDescent="0.3">
      <c r="A27" s="44" t="s">
        <v>218</v>
      </c>
      <c r="B27" s="42" t="b">
        <f>_xll.qlSwapPayer(B14,0)</f>
        <v>1</v>
      </c>
      <c r="C27" s="24" t="b">
        <f>_xll.qlSwapPayer(C14,0)</f>
        <v>1</v>
      </c>
    </row>
    <row r="28" spans="1:3" x14ac:dyDescent="0.3">
      <c r="A28" s="28" t="s">
        <v>177</v>
      </c>
      <c r="B28" s="38" t="str">
        <f>_xll.qlZeroCouponSwapType(B14)</f>
        <v>PAYER</v>
      </c>
      <c r="C28" s="15" t="str">
        <f>_xll.qlZeroCouponSwapType(C14)</f>
        <v>PAYER</v>
      </c>
    </row>
    <row r="29" spans="1:3" x14ac:dyDescent="0.3">
      <c r="A29" s="23" t="s">
        <v>178</v>
      </c>
      <c r="B29" s="42">
        <f>_xll.qlZeroCouponSwapBaseNominal(B14)</f>
        <v>100</v>
      </c>
      <c r="C29" s="24">
        <f>_xll.qlZeroCouponSwapBaseNominal(C14)</f>
        <v>100</v>
      </c>
    </row>
    <row r="30" spans="1:3" x14ac:dyDescent="0.3">
      <c r="A30" s="28" t="s">
        <v>179</v>
      </c>
      <c r="B30" s="38" t="str">
        <f>_xll.qlZeroCouponSwapIborIndex(B14)</f>
        <v>欣[test_swap.xlsx]ZeroCouponSwap!R30C2IborIndex,A</v>
      </c>
      <c r="C30" s="15" t="str">
        <f>_xll.qlZeroCouponSwapIborIndex(C14)</f>
        <v>欣[test_swap.xlsx]ZeroCouponSwap!R30C3IborIndex,A</v>
      </c>
    </row>
    <row r="31" spans="1:3" x14ac:dyDescent="0.3">
      <c r="A31" s="23" t="s">
        <v>180</v>
      </c>
      <c r="B31" s="42" t="str">
        <f>_xll.qlZeroCouponSwapFixedLeg(B14)</f>
        <v>欣[test_swap.xlsx]ZeroCouponSwap!R31C2CashFlow,A</v>
      </c>
      <c r="C31" s="24" t="str">
        <f>_xll.qlZeroCouponSwapFixedLeg(C14)</f>
        <v>欣[test_swap.xlsx]ZeroCouponSwap!R31C3CashFlow,A</v>
      </c>
    </row>
    <row r="32" spans="1:3" x14ac:dyDescent="0.3">
      <c r="A32" s="28" t="s">
        <v>181</v>
      </c>
      <c r="B32" s="38" t="str">
        <f>_xll.qlZeroCouponSwapFloatingLeg(B14)</f>
        <v>欣[test_swap.xlsx]ZeroCouponSwap!R32C2CashFlow,A</v>
      </c>
      <c r="C32" s="15" t="str">
        <f>_xll.qlZeroCouponSwapFloatingLeg(C14)</f>
        <v>欣[test_swap.xlsx]ZeroCouponSwap!R32C3CashFlow,A</v>
      </c>
    </row>
    <row r="33" spans="1:3" x14ac:dyDescent="0.3">
      <c r="A33" s="23" t="s">
        <v>182</v>
      </c>
      <c r="B33" s="42">
        <f>_xll.qlZeroCouponSwapFixedPayment(B14)</f>
        <v>5</v>
      </c>
      <c r="C33" s="24">
        <f>_xll.qlZeroCouponSwapFixedPayment(C14)</f>
        <v>5</v>
      </c>
    </row>
    <row r="34" spans="1:3" x14ac:dyDescent="0.3">
      <c r="A34" s="28" t="s">
        <v>183</v>
      </c>
      <c r="B34" s="38" t="str">
        <f>_xll.qlZeroCouponSwapFixedLegNPV(B14,B17)</f>
        <v>Error in arg 1 'swap': Cannot convert '欣[test_swap.xlsx]ZeroCouponSwap!R14C2ZeroCouponSwap,A': Expected cache string</v>
      </c>
      <c r="C34" s="15" t="str">
        <f>_xll.qlZeroCouponSwapFixedLegNPV(C14,C17)</f>
        <v>Error in arg 1 'swap': Cannot convert '欣[test_swap.xlsx]ZeroCouponSwap!R14C3ZeroCouponSwap,A': Expected cache string</v>
      </c>
    </row>
    <row r="35" spans="1:3" x14ac:dyDescent="0.3">
      <c r="A35" s="23" t="s">
        <v>184</v>
      </c>
      <c r="B35" s="42" t="str">
        <f>_xll.qlZeroCouponSwapFloatingLegNPV(B14,B17)</f>
        <v>Error in arg 1 'swap': Cannot convert '欣[test_swap.xlsx]ZeroCouponSwap!R14C2ZeroCouponSwap,A': Expected cache string</v>
      </c>
      <c r="C35" s="24" t="str">
        <f>_xll.qlZeroCouponSwapFloatingLegNPV(C14,C17)</f>
        <v>Error in arg 1 'swap': Cannot convert '欣[test_swap.xlsx]ZeroCouponSwap!R14C3ZeroCouponSwap,A': Expected cache string</v>
      </c>
    </row>
    <row r="36" spans="1:3" x14ac:dyDescent="0.3">
      <c r="A36" s="28" t="s">
        <v>185</v>
      </c>
      <c r="B36" s="38" t="str">
        <f>_xll.qlZeroCouponSwapFairFixedPayment(B14,B17)</f>
        <v>Error in arg 1 'swap': Cannot convert '欣[test_swap.xlsx]ZeroCouponSwap!R14C2ZeroCouponSwap,A': Expected cache string</v>
      </c>
      <c r="C36" s="15" t="str">
        <f>_xll.qlZeroCouponSwapFairFixedPayment(C14,C17)</f>
        <v>Error in arg 1 'swap': Cannot convert '欣[test_swap.xlsx]ZeroCouponSwap!R14C3ZeroCouponSwap,A': Expected cache string</v>
      </c>
    </row>
    <row r="37" spans="1:3" x14ac:dyDescent="0.3">
      <c r="A37" s="23" t="s">
        <v>186</v>
      </c>
      <c r="B37" s="42" t="str">
        <f>_xll.qlZeroCouponSwapFairFixedRate(B14,"act/360",B17)</f>
        <v>Error in arg 1 'swap': Cannot convert '欣[test_swap.xlsx]ZeroCouponSwap!R14C2ZeroCouponSwap,A': Expected cache string</v>
      </c>
      <c r="C37" s="24" t="str">
        <f>_xll.qlZeroCouponSwapFairFixedRate(C14,"act/360",C17)</f>
        <v>Error in arg 1 'swap': Cannot convert '欣[test_swap.xlsx]ZeroCouponSwap!R14C3ZeroCouponSwap,A': Expected cache string</v>
      </c>
    </row>
    <row r="41" spans="1:3" x14ac:dyDescent="0.3">
      <c r="A41" s="30" t="s">
        <v>60</v>
      </c>
      <c r="B41" s="36" t="s">
        <v>58</v>
      </c>
      <c r="C41" s="22" t="s">
        <v>58</v>
      </c>
    </row>
    <row r="42" spans="1:3" x14ac:dyDescent="0.3">
      <c r="A42" s="31" t="s">
        <v>171</v>
      </c>
      <c r="B42" s="38">
        <v>100</v>
      </c>
      <c r="C42" s="15">
        <v>100</v>
      </c>
    </row>
    <row r="43" spans="1:3" x14ac:dyDescent="0.3">
      <c r="A43" s="31" t="s">
        <v>172</v>
      </c>
      <c r="B43" s="37">
        <v>45667</v>
      </c>
      <c r="C43" s="16">
        <v>45667</v>
      </c>
    </row>
    <row r="44" spans="1:3" x14ac:dyDescent="0.3">
      <c r="A44" s="31" t="s">
        <v>111</v>
      </c>
      <c r="B44" s="37">
        <v>46032</v>
      </c>
      <c r="C44" s="16">
        <v>46032</v>
      </c>
    </row>
    <row r="45" spans="1:3" x14ac:dyDescent="0.3">
      <c r="A45" s="31" t="s">
        <v>63</v>
      </c>
      <c r="B45" s="38">
        <v>0.03</v>
      </c>
      <c r="C45" s="15">
        <v>0.03</v>
      </c>
    </row>
    <row r="46" spans="1:3" x14ac:dyDescent="0.3">
      <c r="A46" s="31" t="s">
        <v>187</v>
      </c>
      <c r="B46" s="38" t="s">
        <v>72</v>
      </c>
      <c r="C46" s="15" t="s">
        <v>72</v>
      </c>
    </row>
    <row r="47" spans="1:3" x14ac:dyDescent="0.3">
      <c r="A47" s="12" t="s">
        <v>22</v>
      </c>
      <c r="B47" s="36" t="str">
        <f>_xll.qlFlatForward(B2,0.03,"actual365fixed")</f>
        <v>欣[test_swap.xlsx]ZeroCouponSwap!R47C2YieldTermStructureHandle,A</v>
      </c>
      <c r="C47" s="22" t="str">
        <f>_xll.qlFlatForward(B2,0.03,"actual365fixed")</f>
        <v>欣[test_swap.xlsx]ZeroCouponSwap!R47C3YieldTermStructureHandle,A</v>
      </c>
    </row>
    <row r="48" spans="1:3" x14ac:dyDescent="0.3">
      <c r="A48" s="32" t="s">
        <v>174</v>
      </c>
      <c r="B48" s="39" t="str">
        <f>_xll.qlEuribor("12M",B47,B2)</f>
        <v>欣[test_swap.xlsx]ZeroCouponSwap!R48C2Euribor,A</v>
      </c>
      <c r="C48" s="17" t="str">
        <f>_xll.qlEuribor("12M",C47,B2)</f>
        <v>欣[test_swap.xlsx]ZeroCouponSwap!R48C3Euribor,A</v>
      </c>
    </row>
    <row r="49" spans="1:3" x14ac:dyDescent="0.3">
      <c r="A49" s="31" t="s">
        <v>139</v>
      </c>
      <c r="B49" s="38" t="str">
        <f>_xll.qlCalendar("TARGET")</f>
        <v>TARGET</v>
      </c>
      <c r="C49" s="15" t="str">
        <f>_xll.qlCalendar("TARGET")</f>
        <v>TARGET</v>
      </c>
    </row>
    <row r="50" spans="1:3" x14ac:dyDescent="0.3">
      <c r="A50" s="31" t="s">
        <v>69</v>
      </c>
      <c r="B50" s="38"/>
      <c r="C50" s="15" t="s">
        <v>82</v>
      </c>
    </row>
    <row r="51" spans="1:3" x14ac:dyDescent="0.3">
      <c r="A51" s="31" t="s">
        <v>175</v>
      </c>
      <c r="B51" s="38"/>
      <c r="C51" s="15">
        <v>1</v>
      </c>
    </row>
    <row r="52" spans="1:3" x14ac:dyDescent="0.3">
      <c r="A52" s="18" t="s">
        <v>188</v>
      </c>
      <c r="B52" s="39" t="str">
        <f>_xll.qlZeroCouponSwap2(B41,B42,B43,B44,B45,B46,B48,B49)</f>
        <v>欣[test_swap.xlsx]ZeroCouponSwap!R52C2ZeroCouponSwap,A</v>
      </c>
      <c r="C52" s="17" t="str">
        <f>_xll.qlZeroCouponSwap2(C41,C42,C43,C44,C45,C46,C48,C49,C50,C51)</f>
        <v>欣[test_swap.xlsx]ZeroCouponSwap!R52C3ZeroCouponSwap,A</v>
      </c>
    </row>
    <row r="53" spans="1:3" x14ac:dyDescent="0.3">
      <c r="A53" s="14" t="s">
        <v>22</v>
      </c>
      <c r="B53" s="38" t="str">
        <f>_xll.qlFlatForward(B2,0.03,"actual365fixed")</f>
        <v>欣[test_swap.xlsx]ZeroCouponSwap!R53C2YieldTermStructureHandle,A</v>
      </c>
      <c r="C53" s="15" t="str">
        <f>_xll.qlFlatForward(B2,0.03,"actual365fixed")</f>
        <v>欣[test_swap.xlsx]ZeroCouponSwap!R53C3YieldTermStructureHandle,A</v>
      </c>
    </row>
    <row r="54" spans="1:3" x14ac:dyDescent="0.3">
      <c r="A54" s="28" t="s">
        <v>21</v>
      </c>
      <c r="B54" s="38" t="str">
        <f>_xll.qlDiscountingSwapEngine(B53,FALSE)</f>
        <v>Error in arg 1 'discount_curve': Cannot convert '欣[test_swap.xlsx]ZeroCouponSwap!R53C2YieldTermStructureHandle,A': Expected cache string</v>
      </c>
      <c r="C54" s="15" t="str">
        <f>_xll.qlDiscountingSwapEngine(C53,FALSE)</f>
        <v>Error in arg 1 'discount_curve': Cannot convert '欣[test_swap.xlsx]ZeroCouponSwap!R53C3YieldTermStructureHandle,A': Expected cache string</v>
      </c>
    </row>
    <row r="55" spans="1:3" x14ac:dyDescent="0.3">
      <c r="A55" s="47" t="s">
        <v>296</v>
      </c>
      <c r="B55" s="58" t="str">
        <f>_xll.qlInstrumentSetPricingEngine(B52,B54)</f>
        <v>Error in arg 1 'instrument': Cannot convert '欣[test_swap.xlsx]ZeroCouponSwap!R52C2ZeroCouponSwap,A': Expected cache string</v>
      </c>
      <c r="C55" s="24" t="str">
        <f>_xll.qlInstrumentSetPricingEngine(C52,C54)</f>
        <v>Error in arg 1 'instrument': Cannot convert '欣[test_swap.xlsx]ZeroCouponSwap!R52C3ZeroCouponSwap,A': Expected cache string</v>
      </c>
    </row>
    <row r="56" spans="1:3" x14ac:dyDescent="0.3">
      <c r="A56" s="28" t="s">
        <v>17</v>
      </c>
      <c r="B56" s="38">
        <f>_xll.qlSwapNumberOfLegs(B52)</f>
        <v>2</v>
      </c>
      <c r="C56" s="15">
        <f>_xll.qlSwapNumberOfLegs(C52)</f>
        <v>2</v>
      </c>
    </row>
    <row r="57" spans="1:3" x14ac:dyDescent="0.3">
      <c r="A57" s="23" t="s">
        <v>18</v>
      </c>
      <c r="B57" s="43">
        <f>_xll.qlSwapStartDate(B52)</f>
        <v>45667</v>
      </c>
      <c r="C57" s="25">
        <f>_xll.qlSwapStartDate(C52)</f>
        <v>45667</v>
      </c>
    </row>
    <row r="58" spans="1:3" x14ac:dyDescent="0.3">
      <c r="A58" s="28" t="s">
        <v>19</v>
      </c>
      <c r="B58" s="37">
        <f>_xll.qlSwapMaturityDate(B52)</f>
        <v>46032</v>
      </c>
      <c r="C58" s="16">
        <f>_xll.qlSwapMaturityDate(C52)</f>
        <v>46032</v>
      </c>
    </row>
    <row r="59" spans="1:3" x14ac:dyDescent="0.3">
      <c r="A59" s="23" t="s">
        <v>219</v>
      </c>
      <c r="B59" s="42" t="str">
        <f>_xll.qlSwapLeg(B52,1)</f>
        <v>欣[test_swap.xlsx]ZeroCouponSwap!R59C2CashFlow,A</v>
      </c>
      <c r="C59" s="24" t="str">
        <f>_xll.qlSwapLeg(C52,1)</f>
        <v>欣[test_swap.xlsx]ZeroCouponSwap!R59C3CashFlow,A</v>
      </c>
    </row>
    <row r="60" spans="1:3" x14ac:dyDescent="0.3">
      <c r="A60" s="28" t="s">
        <v>220</v>
      </c>
      <c r="B60" s="38" t="str">
        <f>_xll.qlSwapLegNPV(B52,1,B55)</f>
        <v>Error in arg 1 'swap': Cannot convert '欣[test_swap.xlsx]ZeroCouponSwap!R52C2ZeroCouponSwap,A': Expected cache string</v>
      </c>
      <c r="C60" s="15" t="str">
        <f>_xll.qlSwapLegNPV(C52,1,C55)</f>
        <v>Error in arg 1 'swap': Cannot convert '欣[test_swap.xlsx]ZeroCouponSwap!R52C3ZeroCouponSwap,A': Expected cache string</v>
      </c>
    </row>
    <row r="61" spans="1:3" x14ac:dyDescent="0.3">
      <c r="A61" s="23" t="s">
        <v>221</v>
      </c>
      <c r="B61" s="42" t="str">
        <f>_xll.qlSwapLegBPS(B52,1,B55)</f>
        <v>Error in arg 1 'swap': Cannot convert '欣[test_swap.xlsx]ZeroCouponSwap!R52C2ZeroCouponSwap,A': Expected cache string</v>
      </c>
      <c r="C61" s="24" t="str">
        <f>_xll.qlSwapLegBPS(C52,1,C55)</f>
        <v>Error in arg 1 'swap': Cannot convert '欣[test_swap.xlsx]ZeroCouponSwap!R52C3ZeroCouponSwap,A': Expected cache string</v>
      </c>
    </row>
    <row r="62" spans="1:3" x14ac:dyDescent="0.3">
      <c r="A62" s="28" t="s">
        <v>222</v>
      </c>
      <c r="B62" s="38" t="str">
        <f>_xll.qlSwapStartDiscounts(B52,1,B55)</f>
        <v>Error in arg 1 'swap': Cannot convert '欣[test_swap.xlsx]ZeroCouponSwap!R52C2ZeroCouponSwap,A': Expected cache string</v>
      </c>
      <c r="C62" s="15" t="str">
        <f>_xll.qlSwapStartDiscounts(C52,1,C55)</f>
        <v>Error in arg 1 'swap': Cannot convert '欣[test_swap.xlsx]ZeroCouponSwap!R52C3ZeroCouponSwap,A': Expected cache string</v>
      </c>
    </row>
    <row r="63" spans="1:3" x14ac:dyDescent="0.3">
      <c r="A63" s="23" t="s">
        <v>223</v>
      </c>
      <c r="B63" s="42" t="str">
        <f>_xll.qlSwapEndDiscounts(B52,1,B55)</f>
        <v>Error in arg 1 'swap': Cannot convert '欣[test_swap.xlsx]ZeroCouponSwap!R52C2ZeroCouponSwap,A': Expected cache string</v>
      </c>
      <c r="C63" s="24" t="str">
        <f>_xll.qlSwapEndDiscounts(C52,1,C55)</f>
        <v>Error in arg 1 'swap': Cannot convert '欣[test_swap.xlsx]ZeroCouponSwap!R52C3ZeroCouponSwap,A': Expected cache string</v>
      </c>
    </row>
    <row r="64" spans="1:3" x14ac:dyDescent="0.3">
      <c r="A64" s="28" t="s">
        <v>20</v>
      </c>
      <c r="B64" s="38" t="str">
        <f>_xll.qlSwapNpvDateDiscount(B52,B55)</f>
        <v>Error in arg 1 'swap': Cannot convert '欣[test_swap.xlsx]ZeroCouponSwap!R52C2ZeroCouponSwap,A': Expected cache string</v>
      </c>
      <c r="C64" s="15" t="str">
        <f>_xll.qlSwapNpvDateDiscount(C52,C55)</f>
        <v>Error in arg 1 'swap': Cannot convert '欣[test_swap.xlsx]ZeroCouponSwap!R52C3ZeroCouponSwap,A': Expected cache string</v>
      </c>
    </row>
    <row r="65" spans="1:3" x14ac:dyDescent="0.3">
      <c r="A65" s="44" t="s">
        <v>218</v>
      </c>
      <c r="B65" s="42" t="b">
        <f>_xll.qlSwapPayer(B52,1)</f>
        <v>0</v>
      </c>
      <c r="C65" s="24" t="b">
        <f>_xll.qlSwapPayer(C52,1)</f>
        <v>0</v>
      </c>
    </row>
    <row r="66" spans="1:3" x14ac:dyDescent="0.3">
      <c r="A66" s="28" t="s">
        <v>177</v>
      </c>
      <c r="B66" s="38" t="str">
        <f>_xll.qlZeroCouponSwapType(B52)</f>
        <v>PAYER</v>
      </c>
      <c r="C66" s="15" t="str">
        <f>_xll.qlZeroCouponSwapType(C52)</f>
        <v>PAYER</v>
      </c>
    </row>
    <row r="67" spans="1:3" x14ac:dyDescent="0.3">
      <c r="A67" s="23" t="s">
        <v>178</v>
      </c>
      <c r="B67" s="42">
        <f>_xll.qlZeroCouponSwapBaseNominal(B52)</f>
        <v>100</v>
      </c>
      <c r="C67" s="24">
        <f>_xll.qlZeroCouponSwapBaseNominal(C52)</f>
        <v>100</v>
      </c>
    </row>
    <row r="68" spans="1:3" x14ac:dyDescent="0.3">
      <c r="A68" s="28" t="s">
        <v>179</v>
      </c>
      <c r="B68" s="38" t="str">
        <f>_xll.qlZeroCouponSwapIborIndex(B52)</f>
        <v>欣[test_swap.xlsx]ZeroCouponSwap!R68C2IborIndex,A</v>
      </c>
      <c r="C68" s="15" t="str">
        <f>_xll.qlZeroCouponSwapIborIndex(C52)</f>
        <v>欣[test_swap.xlsx]ZeroCouponSwap!R68C3IborIndex,A</v>
      </c>
    </row>
    <row r="69" spans="1:3" x14ac:dyDescent="0.3">
      <c r="A69" s="23" t="s">
        <v>180</v>
      </c>
      <c r="B69" s="42" t="str">
        <f>_xll.qlZeroCouponSwapFixedLeg(B52)</f>
        <v>欣[test_swap.xlsx]ZeroCouponSwap!R69C2CashFlow,A</v>
      </c>
      <c r="C69" s="24" t="str">
        <f>_xll.qlZeroCouponSwapFixedLeg(C52)</f>
        <v>欣[test_swap.xlsx]ZeroCouponSwap!R69C3CashFlow,A</v>
      </c>
    </row>
    <row r="70" spans="1:3" x14ac:dyDescent="0.3">
      <c r="A70" s="28" t="s">
        <v>181</v>
      </c>
      <c r="B70" s="38" t="str">
        <f>_xll.qlZeroCouponSwapFloatingLeg(B52)</f>
        <v>欣[test_swap.xlsx]ZeroCouponSwap!R70C2CashFlow,A</v>
      </c>
      <c r="C70" s="15" t="str">
        <f>_xll.qlZeroCouponSwapFloatingLeg(C52)</f>
        <v>欣[test_swap.xlsx]ZeroCouponSwap!R70C3CashFlow,A</v>
      </c>
    </row>
    <row r="71" spans="1:3" x14ac:dyDescent="0.3">
      <c r="A71" s="23" t="s">
        <v>182</v>
      </c>
      <c r="B71" s="42">
        <f>_xll.qlZeroCouponSwapFixedPayment(B52)</f>
        <v>3.0422941898736955</v>
      </c>
      <c r="C71" s="24">
        <f>_xll.qlZeroCouponSwapFixedPayment(C52)</f>
        <v>3.0422941898736955</v>
      </c>
    </row>
    <row r="72" spans="1:3" x14ac:dyDescent="0.3">
      <c r="A72" s="28" t="s">
        <v>183</v>
      </c>
      <c r="B72" s="38" t="str">
        <f>_xll.qlZeroCouponSwapFixedLegNPV(B52,B55)</f>
        <v>Error in arg 1 'swap': Cannot convert '欣[test_swap.xlsx]ZeroCouponSwap!R52C2ZeroCouponSwap,A': Expected cache string</v>
      </c>
      <c r="C72" s="15" t="str">
        <f>_xll.qlZeroCouponSwapFixedLegNPV(C52,C55)</f>
        <v>Error in arg 1 'swap': Cannot convert '欣[test_swap.xlsx]ZeroCouponSwap!R52C3ZeroCouponSwap,A': Expected cache string</v>
      </c>
    </row>
    <row r="73" spans="1:3" x14ac:dyDescent="0.3">
      <c r="A73" s="23" t="s">
        <v>184</v>
      </c>
      <c r="B73" s="42" t="str">
        <f>_xll.qlZeroCouponSwapFloatingLegNPV(B52,B55)</f>
        <v>Error in arg 1 'swap': Cannot convert '欣[test_swap.xlsx]ZeroCouponSwap!R52C2ZeroCouponSwap,A': Expected cache string</v>
      </c>
      <c r="C73" s="24" t="str">
        <f>_xll.qlZeroCouponSwapFloatingLegNPV(C52,C55)</f>
        <v>Error in arg 1 'swap': Cannot convert '欣[test_swap.xlsx]ZeroCouponSwap!R52C3ZeroCouponSwap,A': Expected cache string</v>
      </c>
    </row>
    <row r="74" spans="1:3" x14ac:dyDescent="0.3">
      <c r="A74" s="28" t="s">
        <v>185</v>
      </c>
      <c r="B74" s="38" t="str">
        <f>_xll.qlZeroCouponSwapFairFixedPayment(B52,B55)</f>
        <v>Error in arg 1 'swap': Cannot convert '欣[test_swap.xlsx]ZeroCouponSwap!R52C2ZeroCouponSwap,A': Expected cache string</v>
      </c>
      <c r="C74" s="15" t="str">
        <f>_xll.qlZeroCouponSwapFairFixedPayment(C52,C55)</f>
        <v>Error in arg 1 'swap': Cannot convert '欣[test_swap.xlsx]ZeroCouponSwap!R52C3ZeroCouponSwap,A': Expected cache string</v>
      </c>
    </row>
    <row r="75" spans="1:3" x14ac:dyDescent="0.3">
      <c r="A75" s="23" t="s">
        <v>186</v>
      </c>
      <c r="B75" s="42" t="str">
        <f>_xll.qlZeroCouponSwapFairFixedRate(B52,"act/360",B55)</f>
        <v>Error in arg 1 'swap': Cannot convert '欣[test_swap.xlsx]ZeroCouponSwap!R52C2ZeroCouponSwap,A': Expected cache string</v>
      </c>
      <c r="C75" s="24" t="str">
        <f>_xll.qlZeroCouponSwapFairFixedRate(C52,"act/360",C55)</f>
        <v>Error in arg 1 'swap': Cannot convert '欣[test_swap.xlsx]ZeroCouponSwap!R52C3ZeroCouponSwap,A': Expected cache string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DC9C-2806-479D-9775-F44AB4129F8C}">
  <dimension ref="A1:B27"/>
  <sheetViews>
    <sheetView workbookViewId="0"/>
  </sheetViews>
  <sheetFormatPr defaultRowHeight="14.4" x14ac:dyDescent="0.3"/>
  <cols>
    <col min="1" max="1" width="42.33203125" bestFit="1" customWidth="1"/>
    <col min="2" max="2" width="47.77734375" style="11" customWidth="1"/>
  </cols>
  <sheetData>
    <row r="1" spans="1:2" x14ac:dyDescent="0.3">
      <c r="A1" s="30" t="s">
        <v>13</v>
      </c>
      <c r="B1" s="13">
        <v>45665</v>
      </c>
    </row>
    <row r="2" spans="1:2" x14ac:dyDescent="0.3">
      <c r="A2" s="32" t="s">
        <v>14</v>
      </c>
      <c r="B2" s="35">
        <f>_xll.qlSettingsSetEvaluationDate(B1)</f>
        <v>45665</v>
      </c>
    </row>
    <row r="5" spans="1:2" x14ac:dyDescent="0.3">
      <c r="A5" t="s">
        <v>229</v>
      </c>
      <c r="B5" s="11" t="s">
        <v>303</v>
      </c>
    </row>
    <row r="6" spans="1:2" x14ac:dyDescent="0.3">
      <c r="A6" t="s">
        <v>61</v>
      </c>
      <c r="B6" s="11">
        <v>10000</v>
      </c>
    </row>
    <row r="7" spans="1:2" x14ac:dyDescent="0.3">
      <c r="A7" t="s">
        <v>395</v>
      </c>
      <c r="B7" s="11" t="str" cm="1">
        <f t="array" ref="B7">_xll.qlMakeSchedule(B2+10,B2+375,"3m")</f>
        <v>欣[test_swap.xlsx]BMASwap!R7C2Schedule,A</v>
      </c>
    </row>
    <row r="8" spans="1:2" x14ac:dyDescent="0.3">
      <c r="A8" t="s">
        <v>396</v>
      </c>
      <c r="B8" s="11">
        <v>0.5</v>
      </c>
    </row>
    <row r="9" spans="1:2" x14ac:dyDescent="0.3">
      <c r="A9" t="s">
        <v>397</v>
      </c>
      <c r="B9" s="96">
        <v>5.0000000000000001E-3</v>
      </c>
    </row>
    <row r="10" spans="1:2" x14ac:dyDescent="0.3">
      <c r="A10" t="s">
        <v>398</v>
      </c>
      <c r="B10" s="11" t="str" cm="1">
        <f t="array" ref="B10">_xll.qlEuribor("3M",,B2)</f>
        <v>欣[test_swap.xlsx]BMASwap!R10C2Euribor,G</v>
      </c>
    </row>
    <row r="11" spans="1:2" x14ac:dyDescent="0.3">
      <c r="A11" t="s">
        <v>399</v>
      </c>
      <c r="B11" s="11" t="s">
        <v>403</v>
      </c>
    </row>
    <row r="12" spans="1:2" x14ac:dyDescent="0.3">
      <c r="A12" t="s">
        <v>400</v>
      </c>
      <c r="B12" s="11" t="str" cm="1">
        <f t="array" ref="B12">_xll.qlMakeSchedule(B2+10,B2+375,"3m")</f>
        <v>欣[test_swap.xlsx]BMASwap!R12C2Schedule,A</v>
      </c>
    </row>
    <row r="13" spans="1:2" x14ac:dyDescent="0.3">
      <c r="A13" t="s">
        <v>401</v>
      </c>
      <c r="B13" s="11" t="str" cm="1">
        <f t="array" ref="B13">_xll.qlBMAIndex(,B2)</f>
        <v>欣[test_swap.xlsx]BMASwap!R13C2BMAIndex,G</v>
      </c>
    </row>
    <row r="14" spans="1:2" x14ac:dyDescent="0.3">
      <c r="A14" t="s">
        <v>402</v>
      </c>
      <c r="B14" s="11" t="s">
        <v>403</v>
      </c>
    </row>
    <row r="15" spans="1:2" x14ac:dyDescent="0.3">
      <c r="A15" s="82" t="s">
        <v>404</v>
      </c>
      <c r="B15" s="11" t="str" cm="1">
        <f t="array" ref="B15">_xll.qlBMASwap(B5,B6,B7,B8,B9,B10,B11,B12,B13,B14)</f>
        <v>欣[test_swap.xlsx]BMASwap!R15C2BMASwap,A</v>
      </c>
    </row>
    <row r="16" spans="1:2" x14ac:dyDescent="0.3">
      <c r="A16" s="82" t="s">
        <v>405</v>
      </c>
      <c r="B16" s="11" cm="1">
        <f t="array" ref="B16">_xll.qlBMASwapLiborFraction(B15)</f>
        <v>0.5</v>
      </c>
    </row>
    <row r="17" spans="1:2" x14ac:dyDescent="0.3">
      <c r="A17" s="82" t="s">
        <v>406</v>
      </c>
      <c r="B17" s="11" cm="1">
        <f t="array" ref="B17">_xll.qlBMASwapLiborSpread(B15)</f>
        <v>5.0000000000000001E-3</v>
      </c>
    </row>
    <row r="18" spans="1:2" x14ac:dyDescent="0.3">
      <c r="A18" s="82" t="s">
        <v>407</v>
      </c>
      <c r="B18" s="11" cm="1">
        <f t="array" ref="B18">_xll.qlBMASwapNominal(B15)</f>
        <v>10000</v>
      </c>
    </row>
    <row r="19" spans="1:2" x14ac:dyDescent="0.3">
      <c r="A19" s="82" t="s">
        <v>408</v>
      </c>
      <c r="B19" s="11" t="str" cm="1">
        <f t="array" ref="B19">_xll.qlBMASwapType(B15)</f>
        <v>PAYER</v>
      </c>
    </row>
    <row r="20" spans="1:2" x14ac:dyDescent="0.3">
      <c r="A20" s="82" t="s">
        <v>409</v>
      </c>
      <c r="B20" s="11" t="str" cm="1">
        <f t="array" ref="B20:B23">_xll.qlBMASwapBmaLeg(B15)</f>
        <v>欣[test_swap.xlsx]BMASwap!R20C2CashFlow,A</v>
      </c>
    </row>
    <row r="21" spans="1:2" x14ac:dyDescent="0.3">
      <c r="B21" s="11" t="str">
        <v>欣[test_swap.xlsx]BMASwap!R20C2CashFlow,B</v>
      </c>
    </row>
    <row r="22" spans="1:2" x14ac:dyDescent="0.3">
      <c r="B22" s="11" t="str">
        <v>欣[test_swap.xlsx]BMASwap!R20C2CashFlow,C</v>
      </c>
    </row>
    <row r="23" spans="1:2" x14ac:dyDescent="0.3">
      <c r="A23" s="82" t="s">
        <v>410</v>
      </c>
      <c r="B23" s="11" t="str">
        <v>欣[test_swap.xlsx]BMASwap!R20C2CashFlow,D</v>
      </c>
    </row>
    <row r="24" spans="1:2" x14ac:dyDescent="0.3">
      <c r="B24" s="11" t="str" cm="1">
        <f t="array" ref="B24:B27">_xll.qlBMASwapLiborLeg(B15)</f>
        <v>欣[test_swap.xlsx]BMASwap!R24C2CashFlow,A</v>
      </c>
    </row>
    <row r="25" spans="1:2" x14ac:dyDescent="0.3">
      <c r="B25" s="11" t="str">
        <v>欣[test_swap.xlsx]BMASwap!R24C2CashFlow,B</v>
      </c>
    </row>
    <row r="26" spans="1:2" x14ac:dyDescent="0.3">
      <c r="B26" s="11" t="str">
        <v>欣[test_swap.xlsx]BMASwap!R24C2CashFlow,C</v>
      </c>
    </row>
    <row r="27" spans="1:2" x14ac:dyDescent="0.3">
      <c r="B27" s="11" t="str">
        <v>欣[test_swap.xlsx]BMASwap!R24C2CashFlow,D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55A5-3F16-4B49-9C29-738878359960}">
  <dimension ref="A1:C5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7.88671875" customWidth="1"/>
    <col min="2" max="2" width="70.109375" style="4" customWidth="1"/>
    <col min="3" max="3" width="71.44140625" style="4" customWidth="1"/>
    <col min="6" max="6" width="18.33203125" customWidth="1"/>
    <col min="7" max="7" width="69" customWidth="1"/>
  </cols>
  <sheetData>
    <row r="1" spans="1:3" x14ac:dyDescent="0.3">
      <c r="A1" s="30" t="s">
        <v>13</v>
      </c>
      <c r="B1" s="13">
        <v>45665</v>
      </c>
    </row>
    <row r="2" spans="1:3" x14ac:dyDescent="0.3">
      <c r="A2" s="32" t="s">
        <v>14</v>
      </c>
      <c r="B2" s="35">
        <f>_xll.qlSettingsSetEvaluationDate(B1)</f>
        <v>45665</v>
      </c>
    </row>
    <row r="4" spans="1:3" x14ac:dyDescent="0.3">
      <c r="A4" s="30" t="s">
        <v>60</v>
      </c>
      <c r="B4" s="36" t="s">
        <v>58</v>
      </c>
      <c r="C4" s="22" t="s">
        <v>58</v>
      </c>
    </row>
    <row r="5" spans="1:3" x14ac:dyDescent="0.3">
      <c r="A5" s="31" t="s">
        <v>61</v>
      </c>
      <c r="B5" s="38">
        <v>100</v>
      </c>
      <c r="C5" s="15">
        <v>100</v>
      </c>
    </row>
    <row r="6" spans="1:3" x14ac:dyDescent="0.3">
      <c r="A6" s="12" t="s">
        <v>40</v>
      </c>
      <c r="B6" s="36" t="s">
        <v>41</v>
      </c>
      <c r="C6" s="22" t="s">
        <v>41</v>
      </c>
    </row>
    <row r="7" spans="1:3" x14ac:dyDescent="0.3">
      <c r="A7" s="14" t="s">
        <v>42</v>
      </c>
      <c r="B7" s="37">
        <v>46030</v>
      </c>
      <c r="C7" s="16">
        <v>46030</v>
      </c>
    </row>
    <row r="8" spans="1:3" x14ac:dyDescent="0.3">
      <c r="A8" s="14" t="s">
        <v>43</v>
      </c>
      <c r="B8" s="37">
        <v>47126</v>
      </c>
      <c r="C8" s="16">
        <v>47126</v>
      </c>
    </row>
    <row r="9" spans="1:3" x14ac:dyDescent="0.3">
      <c r="A9" s="14" t="s">
        <v>44</v>
      </c>
      <c r="B9" s="38" t="s">
        <v>74</v>
      </c>
      <c r="C9" s="15" t="s">
        <v>74</v>
      </c>
    </row>
    <row r="10" spans="1:3" x14ac:dyDescent="0.3">
      <c r="A10" s="14" t="s">
        <v>46</v>
      </c>
      <c r="B10" s="38" t="s">
        <v>47</v>
      </c>
      <c r="C10" s="15" t="s">
        <v>47</v>
      </c>
    </row>
    <row r="11" spans="1:3" x14ac:dyDescent="0.3">
      <c r="A11" s="32" t="s">
        <v>135</v>
      </c>
      <c r="B11" s="39" t="str">
        <f>_xll.qlMakeSchedule(B7,B8,B9,,B6,B10)</f>
        <v>欣[test_swap.xlsx]EquityTotalReturnSwap!R11C2Schedule,A</v>
      </c>
      <c r="C11" s="17" t="str">
        <f>_xll.qlMakeSchedule(C7,C8,C9,,C6,C10)</f>
        <v>欣[test_swap.xlsx]EquityTotalReturnSwap!R11C3Schedule,A</v>
      </c>
    </row>
    <row r="12" spans="1:3" x14ac:dyDescent="0.3">
      <c r="A12" s="14" t="s">
        <v>193</v>
      </c>
      <c r="B12" s="38">
        <v>0.01</v>
      </c>
      <c r="C12" s="15">
        <v>0.01</v>
      </c>
    </row>
    <row r="13" spans="1:3" x14ac:dyDescent="0.3">
      <c r="A13" s="12" t="s">
        <v>200</v>
      </c>
      <c r="B13" s="36">
        <v>100</v>
      </c>
      <c r="C13" s="22">
        <v>100</v>
      </c>
    </row>
    <row r="14" spans="1:3" x14ac:dyDescent="0.3">
      <c r="A14" s="14" t="s">
        <v>199</v>
      </c>
      <c r="B14" s="38" t="s">
        <v>194</v>
      </c>
      <c r="C14" s="15" t="s">
        <v>194</v>
      </c>
    </row>
    <row r="15" spans="1:3" x14ac:dyDescent="0.3">
      <c r="A15" s="14" t="s">
        <v>162</v>
      </c>
      <c r="B15" s="38" t="s">
        <v>165</v>
      </c>
      <c r="C15" s="15" t="s">
        <v>165</v>
      </c>
    </row>
    <row r="16" spans="1:3" x14ac:dyDescent="0.3">
      <c r="A16" s="14" t="s">
        <v>196</v>
      </c>
      <c r="B16" s="38" t="str">
        <f>_xll.qlFlatForward(B2,0.03,"actual365fixed")</f>
        <v>欣[test_swap.xlsx]EquityTotalReturnSwap!R16C2YieldTermStructureHandle,A</v>
      </c>
      <c r="C16" s="15" t="str">
        <f>_xll.qlFlatForward(B2,0.03,"actual365fixed")</f>
        <v>欣[test_swap.xlsx]EquityTotalReturnSwap!R16C3YieldTermStructureHandle,A</v>
      </c>
    </row>
    <row r="17" spans="1:3" x14ac:dyDescent="0.3">
      <c r="A17" s="14" t="s">
        <v>197</v>
      </c>
      <c r="B17" s="38" t="str">
        <f>_xll.qlFlatForward(B2,B12,"Actual365Fixed","Continuous")</f>
        <v>欣[test_swap.xlsx]EquityTotalReturnSwap!R17C2YieldTermStructureHandle,A</v>
      </c>
      <c r="C17" s="15" t="str">
        <f>_xll.qlFlatForward(B2,C12,"Actual365Fixed","Continuous")</f>
        <v>欣[test_swap.xlsx]EquityTotalReturnSwap!R17C3YieldTermStructureHandle,A</v>
      </c>
    </row>
    <row r="18" spans="1:3" x14ac:dyDescent="0.3">
      <c r="A18" s="14" t="s">
        <v>198</v>
      </c>
      <c r="B18" s="38" t="s">
        <v>195</v>
      </c>
      <c r="C18" s="15" t="s">
        <v>195</v>
      </c>
    </row>
    <row r="19" spans="1:3" x14ac:dyDescent="0.3">
      <c r="A19" s="32" t="s">
        <v>189</v>
      </c>
      <c r="B19" s="39" t="str">
        <f>_xll.qlEquityIndex(B18,B14,B15,B13,B16,B17)</f>
        <v>欣[test_swap.xlsx]EquityTotalReturnSwap!R19C2EquityIndex,A</v>
      </c>
      <c r="C19" s="17" t="str">
        <f>_xll.qlEquityIndex(C18,C14,C15,C13,C16,C17)</f>
        <v>欣[test_swap.xlsx]EquityTotalReturnSwap!R19C3EquityIndex,A</v>
      </c>
    </row>
    <row r="20" spans="1:3" x14ac:dyDescent="0.3">
      <c r="A20" s="12" t="s">
        <v>22</v>
      </c>
      <c r="B20" s="36" t="str">
        <f>_xll.qlFlatForward(B2,0.03,"actual365fixed")</f>
        <v>欣[test_swap.xlsx]EquityTotalReturnSwap!R20C2YieldTermStructureHandle,A</v>
      </c>
      <c r="C20" s="22" t="str">
        <f>_xll.qlFlatForward(B2,0.03,"actual365fixed")</f>
        <v>欣[test_swap.xlsx]EquityTotalReturnSwap!R20C3YieldTermStructureHandle,A</v>
      </c>
    </row>
    <row r="21" spans="1:3" x14ac:dyDescent="0.3">
      <c r="A21" s="32" t="s">
        <v>190</v>
      </c>
      <c r="B21" s="39" t="str">
        <f>_xll.qlEuribor("12M",B20,B2)</f>
        <v>欣[test_swap.xlsx]EquityTotalReturnSwap!R21C2Euribor,A</v>
      </c>
      <c r="C21" s="17" t="str">
        <f>_xll.qlEuribor("12M",C20,B2)</f>
        <v>欣[test_swap.xlsx]EquityTotalReturnSwap!R21C3Euribor,A</v>
      </c>
    </row>
    <row r="22" spans="1:3" x14ac:dyDescent="0.3">
      <c r="A22" s="31" t="s">
        <v>191</v>
      </c>
      <c r="B22" s="38" t="s">
        <v>72</v>
      </c>
      <c r="C22" s="15" t="s">
        <v>72</v>
      </c>
    </row>
    <row r="23" spans="1:3" x14ac:dyDescent="0.3">
      <c r="A23" s="31" t="s">
        <v>192</v>
      </c>
      <c r="B23" s="38">
        <v>0.3</v>
      </c>
      <c r="C23" s="15">
        <v>0.3</v>
      </c>
    </row>
    <row r="24" spans="1:3" x14ac:dyDescent="0.3">
      <c r="A24" s="31" t="s">
        <v>78</v>
      </c>
      <c r="B24" s="38">
        <v>1</v>
      </c>
      <c r="C24" s="15">
        <v>2</v>
      </c>
    </row>
    <row r="25" spans="1:3" x14ac:dyDescent="0.3">
      <c r="A25" s="31" t="s">
        <v>139</v>
      </c>
      <c r="B25" s="38" t="s">
        <v>299</v>
      </c>
      <c r="C25" s="15" t="str">
        <f>_xll.qlCalendar("TARGET")</f>
        <v>TARGET</v>
      </c>
    </row>
    <row r="26" spans="1:3" x14ac:dyDescent="0.3">
      <c r="A26" s="31" t="s">
        <v>69</v>
      </c>
      <c r="B26" s="38"/>
      <c r="C26" s="15" t="s">
        <v>75</v>
      </c>
    </row>
    <row r="27" spans="1:3" x14ac:dyDescent="0.3">
      <c r="A27" s="31" t="s">
        <v>175</v>
      </c>
      <c r="B27" s="38"/>
      <c r="C27" s="15">
        <v>1</v>
      </c>
    </row>
    <row r="28" spans="1:3" x14ac:dyDescent="0.3">
      <c r="A28" s="18" t="s">
        <v>201</v>
      </c>
      <c r="B28" s="39" t="str">
        <f>_xll.qlEquityTotalReturnSwap(B4,B5,B11,B19,B21,B22,B23,B24,B25)</f>
        <v>欣[test_swap.xlsx]EquityTotalReturnSwap!R28C2EquityTotalReturnSwap,A</v>
      </c>
      <c r="C28" s="17" t="str">
        <f>_xll.qlEquityTotalReturnSwap(C4,C5,C11,C19,C21,C22,C23,C24,C25,C26,C27)</f>
        <v>欣[test_swap.xlsx]EquityTotalReturnSwap!R28C3EquityTotalReturnSwap,A</v>
      </c>
    </row>
    <row r="29" spans="1:3" x14ac:dyDescent="0.3">
      <c r="A29" s="14" t="s">
        <v>22</v>
      </c>
      <c r="B29" s="38" t="str">
        <f>_xll.qlFlatForward(B2,0.03,"actual365fixed")</f>
        <v>欣[test_swap.xlsx]EquityTotalReturnSwap!R29C2YieldTermStructureHandle,A</v>
      </c>
      <c r="C29" s="15" t="str">
        <f>_xll.qlFlatForward(B2,0.03,"actual365fixed")</f>
        <v>欣[test_swap.xlsx]EquityTotalReturnSwap!R29C3YieldTermStructureHandle,A</v>
      </c>
    </row>
    <row r="30" spans="1:3" x14ac:dyDescent="0.3">
      <c r="A30" s="28" t="s">
        <v>21</v>
      </c>
      <c r="B30" s="38" t="str">
        <f>_xll.qlDiscountingSwapEngine(B29,FALSE)</f>
        <v>Error in arg 1 'discount_curve': Cannot convert '欣[test_swap.xlsx]EquityTotalReturnSwap!R29C2YieldTermStructureHandle,A': Expected cache string</v>
      </c>
      <c r="C30" s="15" t="str">
        <f>_xll.qlDiscountingSwapEngine(C29,FALSE)</f>
        <v>Error in arg 1 'discount_curve': Cannot convert '欣[test_swap.xlsx]EquityTotalReturnSwap!R29C3YieldTermStructureHandle,A': Expected cache string</v>
      </c>
    </row>
    <row r="31" spans="1:3" x14ac:dyDescent="0.3">
      <c r="A31" s="47" t="s">
        <v>296</v>
      </c>
      <c r="B31" s="58" t="str">
        <f>_xll.qlInstrumentSetPricingEngine(B28,B30)</f>
        <v>Error in arg 1 'instrument': Cannot convert '欣[test_swap.xlsx]EquityTotalReturnSwap!R28C2EquityTotalReturnSwap,A': Expected cache string</v>
      </c>
      <c r="C31" s="73" t="str">
        <f>_xll.qlInstrumentSetPricingEngine(C28,C30)</f>
        <v>Error in arg 1 'instrument': Cannot convert '欣[test_swap.xlsx]EquityTotalReturnSwap!R28C3EquityTotalReturnSwap,A': Expected cache string</v>
      </c>
    </row>
    <row r="32" spans="1:3" x14ac:dyDescent="0.3">
      <c r="A32" s="28" t="s">
        <v>17</v>
      </c>
      <c r="B32" s="38">
        <f>_xll.qlSwapNumberOfLegs(B28)</f>
        <v>2</v>
      </c>
      <c r="C32" s="15">
        <f>_xll.qlSwapNumberOfLegs(C28)</f>
        <v>2</v>
      </c>
    </row>
    <row r="33" spans="1:3" x14ac:dyDescent="0.3">
      <c r="A33" s="23" t="s">
        <v>18</v>
      </c>
      <c r="B33" s="43">
        <f>_xll.qlSwapStartDate(B28)</f>
        <v>46030</v>
      </c>
      <c r="C33" s="25">
        <f>_xll.qlSwapStartDate(C28)</f>
        <v>46030</v>
      </c>
    </row>
    <row r="34" spans="1:3" x14ac:dyDescent="0.3">
      <c r="A34" s="28" t="s">
        <v>19</v>
      </c>
      <c r="B34" s="37">
        <f>_xll.qlSwapMaturityDate(B28)</f>
        <v>47126</v>
      </c>
      <c r="C34" s="16">
        <f>_xll.qlSwapMaturityDate(C28)</f>
        <v>47127</v>
      </c>
    </row>
    <row r="35" spans="1:3" x14ac:dyDescent="0.3">
      <c r="A35" s="23" t="s">
        <v>219</v>
      </c>
      <c r="B35" s="42" t="str">
        <f>_xll.qlSwapLeg(B28,1)</f>
        <v>欣[test_swap.xlsx]EquityTotalReturnSwap!R35C2CashFlow,A</v>
      </c>
      <c r="C35" s="24" t="str">
        <f>_xll.qlSwapLeg(C28,1)</f>
        <v>欣[test_swap.xlsx]EquityTotalReturnSwap!R35C3CashFlow,A</v>
      </c>
    </row>
    <row r="36" spans="1:3" x14ac:dyDescent="0.3">
      <c r="A36" s="28" t="s">
        <v>220</v>
      </c>
      <c r="B36" s="38" t="str">
        <f>_xll.qlSwapLegNPV(B28,1,B31)</f>
        <v>Error in arg 1 'swap': Cannot convert '欣[test_swap.xlsx]EquityTotalReturnSwap!R28C2EquityTotalReturnSwap,A': Expected cache string</v>
      </c>
      <c r="C36" s="15" t="str">
        <f>_xll.qlSwapLegNPV(C28,1,C31)</f>
        <v>Error in arg 1 'swap': Cannot convert '欣[test_swap.xlsx]EquityTotalReturnSwap!R28C3EquityTotalReturnSwap,A': Expected cache string</v>
      </c>
    </row>
    <row r="37" spans="1:3" x14ac:dyDescent="0.3">
      <c r="A37" s="23" t="s">
        <v>221</v>
      </c>
      <c r="B37" s="42" t="str">
        <f>_xll.qlSwapLegBPS(B28,1,B31)</f>
        <v>Error in arg 1 'swap': Cannot convert '欣[test_swap.xlsx]EquityTotalReturnSwap!R28C2EquityTotalReturnSwap,A': Expected cache string</v>
      </c>
      <c r="C37" s="24" t="str">
        <f>_xll.qlSwapLegBPS(C28,1,C31)</f>
        <v>Error in arg 1 'swap': Cannot convert '欣[test_swap.xlsx]EquityTotalReturnSwap!R28C3EquityTotalReturnSwap,A': Expected cache string</v>
      </c>
    </row>
    <row r="38" spans="1:3" x14ac:dyDescent="0.3">
      <c r="A38" s="28" t="s">
        <v>222</v>
      </c>
      <c r="B38" s="38" t="str">
        <f>_xll.qlSwapStartDiscounts(B28,1,B31)</f>
        <v>Error in arg 1 'swap': Cannot convert '欣[test_swap.xlsx]EquityTotalReturnSwap!R28C2EquityTotalReturnSwap,A': Expected cache string</v>
      </c>
      <c r="C38" s="15" t="str">
        <f>_xll.qlSwapStartDiscounts(C28,1,C31)</f>
        <v>Error in arg 1 'swap': Cannot convert '欣[test_swap.xlsx]EquityTotalReturnSwap!R28C3EquityTotalReturnSwap,A': Expected cache string</v>
      </c>
    </row>
    <row r="39" spans="1:3" x14ac:dyDescent="0.3">
      <c r="A39" s="23" t="s">
        <v>223</v>
      </c>
      <c r="B39" s="42" t="str">
        <f>_xll.qlSwapEndDiscounts(B28,1,B31)</f>
        <v>Error in arg 1 'swap': Cannot convert '欣[test_swap.xlsx]EquityTotalReturnSwap!R28C2EquityTotalReturnSwap,A': Expected cache string</v>
      </c>
      <c r="C39" s="24" t="str">
        <f>_xll.qlSwapEndDiscounts(C28,1,C31)</f>
        <v>Error in arg 1 'swap': Cannot convert '欣[test_swap.xlsx]EquityTotalReturnSwap!R28C3EquityTotalReturnSwap,A': Expected cache string</v>
      </c>
    </row>
    <row r="40" spans="1:3" x14ac:dyDescent="0.3">
      <c r="A40" s="28" t="s">
        <v>20</v>
      </c>
      <c r="B40" s="38" t="str">
        <f>_xll.qlSwapNpvDateDiscount(B28,B31)</f>
        <v>Error in arg 1 'swap': Cannot convert '欣[test_swap.xlsx]EquityTotalReturnSwap!R28C2EquityTotalReturnSwap,A': Expected cache string</v>
      </c>
      <c r="C40" s="15" t="str">
        <f>_xll.qlSwapNpvDateDiscount(C28,C31)</f>
        <v>Error in arg 1 'swap': Cannot convert '欣[test_swap.xlsx]EquityTotalReturnSwap!R28C3EquityTotalReturnSwap,A': Expected cache string</v>
      </c>
    </row>
    <row r="41" spans="1:3" x14ac:dyDescent="0.3">
      <c r="A41" s="44" t="s">
        <v>218</v>
      </c>
      <c r="B41" s="42" t="b">
        <f>_xll.qlSwapPayer(B28,0)</f>
        <v>1</v>
      </c>
      <c r="C41" s="24" t="b">
        <f>_xll.qlSwapPayer(C28,0)</f>
        <v>1</v>
      </c>
    </row>
    <row r="42" spans="1:3" x14ac:dyDescent="0.3">
      <c r="A42" s="28" t="s">
        <v>202</v>
      </c>
      <c r="B42" s="38" t="str">
        <f>_xll.qlEquityTotalReturnSwapType(B28)</f>
        <v>PAYER</v>
      </c>
      <c r="C42" s="15" t="str">
        <f>_xll.qlEquityTotalReturnSwapType(C28)</f>
        <v>PAYER</v>
      </c>
    </row>
    <row r="43" spans="1:3" x14ac:dyDescent="0.3">
      <c r="A43" s="23" t="s">
        <v>203</v>
      </c>
      <c r="B43" s="42">
        <f>_xll.qlEquityTotalReturnSwapNominal(B28)</f>
        <v>100</v>
      </c>
      <c r="C43" s="24">
        <f>_xll.qlEquityTotalReturnSwapNominal(C28)</f>
        <v>100</v>
      </c>
    </row>
    <row r="44" spans="1:3" x14ac:dyDescent="0.3">
      <c r="A44" s="28" t="s">
        <v>204</v>
      </c>
      <c r="B44" s="38" t="str">
        <f>_xll.qlEquityTotalReturnSwapEquityIndex(B28)</f>
        <v>欣[test_swap.xlsx]EquityTotalReturnSwap!R44C2EquityIndex,A</v>
      </c>
      <c r="C44" s="15" t="str">
        <f>_xll.qlEquityTotalReturnSwapEquityIndex(C28)</f>
        <v>欣[test_swap.xlsx]EquityTotalReturnSwap!R44C3EquityIndex,A</v>
      </c>
    </row>
    <row r="45" spans="1:3" x14ac:dyDescent="0.3">
      <c r="A45" s="23" t="s">
        <v>205</v>
      </c>
      <c r="B45" s="42" t="str">
        <f>_xll.qlEquityTotalReturnSwapInterestRateIndex(B28)</f>
        <v>欣[test_swap.xlsx]EquityTotalReturnSwap!R45C2InterestRateIndex,A</v>
      </c>
      <c r="C45" s="24" t="str">
        <f>_xll.qlEquityTotalReturnSwapInterestRateIndex(C28)</f>
        <v>欣[test_swap.xlsx]EquityTotalReturnSwap!R45C3InterestRateIndex,A</v>
      </c>
    </row>
    <row r="46" spans="1:3" x14ac:dyDescent="0.3">
      <c r="A46" s="28" t="s">
        <v>206</v>
      </c>
      <c r="B46" s="38" t="str">
        <f>_xll.qlEquityTotalReturnSwapSchedule(B28)</f>
        <v>欣[test_swap.xlsx]EquityTotalReturnSwap!R46C2Schedule,A</v>
      </c>
      <c r="C46" s="15" t="str">
        <f>_xll.qlEquityTotalReturnSwapSchedule(C28)</f>
        <v>欣[test_swap.xlsx]EquityTotalReturnSwap!R46C3Schedule,A</v>
      </c>
    </row>
    <row r="47" spans="1:3" x14ac:dyDescent="0.3">
      <c r="A47" s="23" t="s">
        <v>207</v>
      </c>
      <c r="B47" s="42" t="str">
        <f>_xll.qlEquityTotalReturnSwapDayCounter(B28)</f>
        <v>Actual/360</v>
      </c>
      <c r="C47" s="24" t="str">
        <f>_xll.qlEquityTotalReturnSwapDayCounter(C28)</f>
        <v>Actual/360</v>
      </c>
    </row>
    <row r="48" spans="1:3" x14ac:dyDescent="0.3">
      <c r="A48" s="28" t="s">
        <v>208</v>
      </c>
      <c r="B48" s="38">
        <f>_xll.qlEquityTotalReturnSwapMargin(B28)</f>
        <v>0.3</v>
      </c>
      <c r="C48" s="15">
        <f>_xll.qlEquityTotalReturnSwapMargin(C28)</f>
        <v>0.3</v>
      </c>
    </row>
    <row r="49" spans="1:3" x14ac:dyDescent="0.3">
      <c r="A49" s="23" t="s">
        <v>209</v>
      </c>
      <c r="B49" s="42">
        <f>_xll.qlEquityTotalReturnSwapGearing(B28)</f>
        <v>1</v>
      </c>
      <c r="C49" s="24">
        <f>_xll.qlEquityTotalReturnSwapGearing(C28)</f>
        <v>2</v>
      </c>
    </row>
    <row r="50" spans="1:3" x14ac:dyDescent="0.3">
      <c r="A50" s="28" t="s">
        <v>210</v>
      </c>
      <c r="B50" s="38" t="str">
        <f>_xll.qlEquityTotalReturnSwapPaymentCalendar(B28)</f>
        <v>TARGET</v>
      </c>
      <c r="C50" s="15" t="str">
        <f>_xll.qlEquityTotalReturnSwapPaymentCalendar(C28)</f>
        <v>TARGET</v>
      </c>
    </row>
    <row r="51" spans="1:3" x14ac:dyDescent="0.3">
      <c r="A51" s="23" t="s">
        <v>211</v>
      </c>
      <c r="B51" s="42" t="str">
        <f>_xll.qlEquityTotalReturnSwapPaymentConvention(B28)</f>
        <v>UNADJUSTED</v>
      </c>
      <c r="C51" s="24" t="str">
        <f>_xll.qlEquityTotalReturnSwapPaymentConvention(C28)</f>
        <v>FOLLOWING</v>
      </c>
    </row>
    <row r="52" spans="1:3" x14ac:dyDescent="0.3">
      <c r="A52" s="28" t="s">
        <v>212</v>
      </c>
      <c r="B52" s="38">
        <f>_xll.qlEquityTotalReturnSwapPaymentDelay(B28)</f>
        <v>0</v>
      </c>
      <c r="C52" s="15">
        <f>_xll.qlEquityTotalReturnSwapPaymentDelay(C28)</f>
        <v>1</v>
      </c>
    </row>
    <row r="53" spans="1:3" x14ac:dyDescent="0.3">
      <c r="A53" s="23" t="s">
        <v>213</v>
      </c>
      <c r="B53" s="42" t="str">
        <f>_xll.qlEquityTotalReturnSwapEquityLeg(B28)</f>
        <v>欣[test_swap.xlsx]EquityTotalReturnSwap!R53C2CashFlow,A</v>
      </c>
      <c r="C53" s="24" t="str">
        <f>_xll.qlEquityTotalReturnSwapEquityLeg(C28)</f>
        <v>欣[test_swap.xlsx]EquityTotalReturnSwap!R53C3CashFlow,A</v>
      </c>
    </row>
    <row r="54" spans="1:3" x14ac:dyDescent="0.3">
      <c r="A54" s="28" t="s">
        <v>214</v>
      </c>
      <c r="B54" s="38" t="str">
        <f>_xll.qlEquityTotalReturnSwapInterestRateLeg(B28)</f>
        <v>欣[test_swap.xlsx]EquityTotalReturnSwap!R54C2CashFlow,A</v>
      </c>
      <c r="C54" s="15" t="str">
        <f>_xll.qlEquityTotalReturnSwapInterestRateLeg(C28)</f>
        <v>欣[test_swap.xlsx]EquityTotalReturnSwap!R54C3CashFlow,A</v>
      </c>
    </row>
    <row r="55" spans="1:3" x14ac:dyDescent="0.3">
      <c r="A55" s="23" t="s">
        <v>215</v>
      </c>
      <c r="B55" s="42" t="str">
        <f>_xll.qlEquityTotalReturnSwapEquityLegNPV(B28,B31)</f>
        <v>Error in arg 1 'swap': Cannot convert '欣[test_swap.xlsx]EquityTotalReturnSwap!R28C2EquityTotalReturnSwap,A': Expected cache string</v>
      </c>
      <c r="C55" s="24" t="str">
        <f>_xll.qlEquityTotalReturnSwapEquityLegNPV(C28,C31)</f>
        <v>Error in arg 1 'swap': Cannot convert '欣[test_swap.xlsx]EquityTotalReturnSwap!R28C3EquityTotalReturnSwap,A': Expected cache string</v>
      </c>
    </row>
    <row r="56" spans="1:3" x14ac:dyDescent="0.3">
      <c r="A56" s="28" t="s">
        <v>216</v>
      </c>
      <c r="B56" s="38" t="str">
        <f>_xll.qlEquityTotalReturnSwapInterestRateLegNPV(B28,B31)</f>
        <v>Error in arg 1 'swap': Cannot convert '欣[test_swap.xlsx]EquityTotalReturnSwap!R28C2EquityTotalReturnSwap,A': Expected cache string</v>
      </c>
      <c r="C56" s="15" t="str">
        <f>_xll.qlEquityTotalReturnSwapInterestRateLegNPV(C28,C31)</f>
        <v>Error in arg 1 'swap': Cannot convert '欣[test_swap.xlsx]EquityTotalReturnSwap!R28C3EquityTotalReturnSwap,A': Expected cache string</v>
      </c>
    </row>
    <row r="57" spans="1:3" x14ac:dyDescent="0.3">
      <c r="A57" s="23" t="s">
        <v>217</v>
      </c>
      <c r="B57" s="42" t="str">
        <f>_xll.qlEquityTotalReturnSwapFairMargin(B28,B31)</f>
        <v>Error in arg 1 'swap': Cannot convert '欣[test_swap.xlsx]EquityTotalReturnSwap!R28C2EquityTotalReturnSwap,A': Expected cache string</v>
      </c>
      <c r="C57" s="24" t="str">
        <f>_xll.qlEquityTotalReturnSwapFairMargin(C28,C31)</f>
        <v>Error in arg 1 'swap': Cannot convert '欣[test_swap.xlsx]EquityTotalReturnSwap!R28C3EquityTotalReturnSwap,A': Expected cache string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83F71-5FE9-4D4A-AE62-F9746E6E1E58}">
  <dimension ref="A1:C3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7.88671875" customWidth="1"/>
    <col min="2" max="2" width="102.109375" style="11" customWidth="1"/>
    <col min="3" max="3" width="105.109375" style="11" bestFit="1" customWidth="1"/>
    <col min="6" max="6" width="18.33203125" customWidth="1"/>
    <col min="7" max="7" width="69" customWidth="1"/>
  </cols>
  <sheetData>
    <row r="1" spans="1:3" x14ac:dyDescent="0.3">
      <c r="A1" s="30" t="s">
        <v>13</v>
      </c>
      <c r="B1" s="13">
        <v>45665</v>
      </c>
    </row>
    <row r="2" spans="1:3" x14ac:dyDescent="0.3">
      <c r="A2" s="32" t="s">
        <v>14</v>
      </c>
      <c r="B2" s="35">
        <f>_xll.qlSettingsSetEvaluationDate(B1)</f>
        <v>45665</v>
      </c>
    </row>
    <row r="4" spans="1:3" x14ac:dyDescent="0.3">
      <c r="A4" s="12" t="s">
        <v>332</v>
      </c>
      <c r="B4" s="72">
        <v>46389</v>
      </c>
      <c r="C4" s="13">
        <v>46389</v>
      </c>
    </row>
    <row r="5" spans="1:3" x14ac:dyDescent="0.3">
      <c r="A5" s="31" t="s">
        <v>38</v>
      </c>
      <c r="B5" s="38" t="str" cm="1">
        <f t="array" ref="B5">_xll.qlSimpleCashFlow(100,B4)</f>
        <v>欣[test_swap.xlsx]ConstNotionalCrossCurrencySwap!R5C2SimpleCashFlow,A</v>
      </c>
      <c r="C5" s="15" t="str" cm="1">
        <f t="array" ref="C5">_xll.qlSimpleCashFlow(100,C4)</f>
        <v>欣[test_swap.xlsx]ConstNotionalCrossCurrencySwap!R5C3SimpleCashFlow,A</v>
      </c>
    </row>
    <row r="6" spans="1:3" x14ac:dyDescent="0.3">
      <c r="A6" s="31" t="s">
        <v>320</v>
      </c>
      <c r="B6" s="38" t="s">
        <v>333</v>
      </c>
      <c r="C6" s="15" t="s">
        <v>333</v>
      </c>
    </row>
    <row r="7" spans="1:3" x14ac:dyDescent="0.3">
      <c r="A7" s="31" t="s">
        <v>39</v>
      </c>
      <c r="B7" s="38" t="str" cm="1">
        <f t="array" ref="B7">_xll.qlSimpleCashFlow(90,B4)</f>
        <v>欣[test_swap.xlsx]ConstNotionalCrossCurrencySwap!R7C2SimpleCashFlow,A</v>
      </c>
      <c r="C7" s="15" t="str" cm="1">
        <f t="array" ref="C7">_xll.qlSimpleCashFlow(90,C4)</f>
        <v>欣[test_swap.xlsx]ConstNotionalCrossCurrencySwap!R7C3SimpleCashFlow,A</v>
      </c>
    </row>
    <row r="8" spans="1:3" x14ac:dyDescent="0.3">
      <c r="A8" s="31" t="s">
        <v>321</v>
      </c>
      <c r="B8" s="38" t="s">
        <v>165</v>
      </c>
      <c r="C8" s="15" t="s">
        <v>165</v>
      </c>
    </row>
    <row r="9" spans="1:3" x14ac:dyDescent="0.3">
      <c r="A9" s="18" t="s">
        <v>318</v>
      </c>
      <c r="B9" s="39" t="str" cm="1">
        <f t="array" ref="B9">_xll.qlConstNotionalCrossCurrencySwap(B5,B6,B7,B8)</f>
        <v>欣[test_swap.xlsx]ConstNotionalCrossCurrencySwap!R9C2ConstNotionalCrossCurrencySwap,A</v>
      </c>
      <c r="C9" s="17" t="str" cm="1">
        <f t="array" ref="C9">_xll.qlConstNotionalCrossCurrencySwap(C5,C6,C7,C8)</f>
        <v>欣[test_swap.xlsx]ConstNotionalCrossCurrencySwap!R9C3ConstNotionalCrossCurrencySwap,A</v>
      </c>
    </row>
    <row r="10" spans="1:3" x14ac:dyDescent="0.3">
      <c r="A10" s="28" t="s">
        <v>322</v>
      </c>
      <c r="B10" s="38" t="str" cm="1">
        <f t="array" ref="B10">_xll.qlConstNotionalCrossCurrencySwapLegCurrency(B9,1)</f>
        <v>欣[test_swap.xlsx]ConstNotionalCrossCurrencySwap!R10C2Currency,A</v>
      </c>
      <c r="C10" s="15" t="str" cm="1">
        <f t="array" ref="C10">_xll.qlConstNotionalCrossCurrencySwapLegCurrency(C9,1)</f>
        <v>欣[test_swap.xlsx]ConstNotionalCrossCurrencySwap!R10C3Currency,A</v>
      </c>
    </row>
    <row r="11" spans="1:3" x14ac:dyDescent="0.3">
      <c r="A11" s="40" t="s">
        <v>334</v>
      </c>
      <c r="B11" s="36" t="s">
        <v>333</v>
      </c>
      <c r="C11" s="22" t="s">
        <v>333</v>
      </c>
    </row>
    <row r="12" spans="1:3" x14ac:dyDescent="0.3">
      <c r="A12" s="41" t="s">
        <v>335</v>
      </c>
      <c r="B12" s="38" t="str" cm="1">
        <f t="array" ref="B12">_xll.qlFlatForward($B$1,0.02,"Actual365Fixed")</f>
        <v>欣[test_swap.xlsx]ConstNotionalCrossCurrencySwap!R12C2YieldTermStructureHandle,A</v>
      </c>
      <c r="C12" s="15" t="str" cm="1">
        <f t="array" ref="C12">_xll.qlFlatForward($B$1,0.02,"Actual365Fixed")</f>
        <v>欣[test_swap.xlsx]ConstNotionalCrossCurrencySwap!R12C3YieldTermStructureHandle,A</v>
      </c>
    </row>
    <row r="13" spans="1:3" x14ac:dyDescent="0.3">
      <c r="A13" s="41" t="s">
        <v>336</v>
      </c>
      <c r="B13" s="38" t="s">
        <v>165</v>
      </c>
      <c r="C13" s="15" t="s">
        <v>165</v>
      </c>
    </row>
    <row r="14" spans="1:3" x14ac:dyDescent="0.3">
      <c r="A14" s="41" t="s">
        <v>337</v>
      </c>
      <c r="B14" s="38" t="str" cm="1">
        <f t="array" ref="B14">_xll.qlFlatForward($B$1,0.02,"Actual365Fixed")</f>
        <v>欣[test_swap.xlsx]ConstNotionalCrossCurrencySwap!R14C2YieldTermStructureHandle,A</v>
      </c>
      <c r="C14" s="15" t="str" cm="1">
        <f t="array" ref="C14">_xll.qlFlatForward($B$1,0.02,"Actual365Fixed")</f>
        <v>欣[test_swap.xlsx]ConstNotionalCrossCurrencySwap!R14C3YieldTermStructureHandle,A</v>
      </c>
    </row>
    <row r="15" spans="1:3" x14ac:dyDescent="0.3">
      <c r="A15" s="41" t="s">
        <v>338</v>
      </c>
      <c r="B15" s="38">
        <v>1.1000000000000001</v>
      </c>
      <c r="C15" s="15">
        <v>1.1000000000000001</v>
      </c>
    </row>
    <row r="16" spans="1:3" x14ac:dyDescent="0.3">
      <c r="A16" s="41" t="s">
        <v>23</v>
      </c>
      <c r="B16" s="38"/>
      <c r="C16" s="15" t="b">
        <v>0</v>
      </c>
    </row>
    <row r="17" spans="1:3" x14ac:dyDescent="0.3">
      <c r="A17" s="41" t="s">
        <v>24</v>
      </c>
      <c r="B17" s="38"/>
      <c r="C17" s="16">
        <v>45665</v>
      </c>
    </row>
    <row r="18" spans="1:3" x14ac:dyDescent="0.3">
      <c r="A18" s="41" t="s">
        <v>25</v>
      </c>
      <c r="B18" s="38"/>
      <c r="C18" s="16">
        <v>45665</v>
      </c>
    </row>
    <row r="19" spans="1:3" x14ac:dyDescent="0.3">
      <c r="A19" s="41" t="s">
        <v>339</v>
      </c>
      <c r="B19" s="38"/>
      <c r="C19" s="16">
        <v>45665</v>
      </c>
    </row>
    <row r="20" spans="1:3" x14ac:dyDescent="0.3">
      <c r="A20" s="18" t="s">
        <v>331</v>
      </c>
      <c r="B20" s="39" t="str" cm="1">
        <f t="array" ref="B20">_xll.qlDiscountingConstNotionalCrossCurrencySwapEngine(B11,B12,B13,B14,B15)</f>
        <v>欣[test_swap.xlsx]ConstNotionalCrossCurrencySwap!R20C2DiscountingConstNotionalCrossCurrencySwapEngine,A</v>
      </c>
      <c r="C20" s="17" t="str" cm="1">
        <f t="array" ref="C20">_xll.qlDiscountingConstNotionalCrossCurrencySwapEngine(C11,C12,C13,C14,C15,C16,C17,C18,C19)</f>
        <v>欣[test_swap.xlsx]ConstNotionalCrossCurrencySwap!R20C3DiscountingConstNotionalCrossCurrencySwapEngine,A</v>
      </c>
    </row>
    <row r="21" spans="1:3" x14ac:dyDescent="0.3">
      <c r="A21" s="47" t="s">
        <v>340</v>
      </c>
      <c r="B21" s="42" t="b" cm="1">
        <f t="array" ref="B21">_xll.qlInstrumentSetPricingEngine(B9,B20)</f>
        <v>1</v>
      </c>
      <c r="C21" s="24" t="b" cm="1">
        <f t="array" ref="C21">_xll.qlInstrumentSetPricingEngine(C9,C20)</f>
        <v>1</v>
      </c>
    </row>
    <row r="22" spans="1:3" x14ac:dyDescent="0.3">
      <c r="A22" s="28" t="s">
        <v>323</v>
      </c>
      <c r="B22" s="38" cm="1">
        <f t="array" ref="B22">_xll.qlConstNotionalCrossCurrencySwapInCcyLegNPV(B9,1,B21)</f>
        <v>86.499483035654521</v>
      </c>
      <c r="C22" s="15" cm="1">
        <f t="array" ref="C22">_xll.qlConstNotionalCrossCurrencySwapInCcyLegNPV(C9,1,C21)</f>
        <v>86.499483035654521</v>
      </c>
    </row>
    <row r="23" spans="1:3" x14ac:dyDescent="0.3">
      <c r="A23" s="23" t="s">
        <v>324</v>
      </c>
      <c r="B23" s="42" cm="1">
        <f t="array" ref="B23">_xll.qlConstNotionalCrossCurrencySwapInCcyLegBPS(B9,1,B21)</f>
        <v>0</v>
      </c>
      <c r="C23" s="24" cm="1">
        <f t="array" ref="C23">_xll.qlConstNotionalCrossCurrencySwapInCcyLegBPS(C9,1,C21)</f>
        <v>0</v>
      </c>
    </row>
    <row r="24" spans="1:3" x14ac:dyDescent="0.3">
      <c r="A24" s="28" t="s">
        <v>17</v>
      </c>
      <c r="B24" s="38">
        <f>_xll.qlSwapNumberOfLegs(B9)</f>
        <v>2</v>
      </c>
      <c r="C24" s="15">
        <f>_xll.qlSwapNumberOfLegs(C9)</f>
        <v>2</v>
      </c>
    </row>
    <row r="25" spans="1:3" x14ac:dyDescent="0.3">
      <c r="A25" s="23" t="s">
        <v>18</v>
      </c>
      <c r="B25" s="43">
        <f>_xll.qlSwapStartDate(B9)</f>
        <v>46389</v>
      </c>
      <c r="C25" s="25">
        <f>_xll.qlSwapStartDate(C9)</f>
        <v>46389</v>
      </c>
    </row>
    <row r="26" spans="1:3" x14ac:dyDescent="0.3">
      <c r="A26" s="28" t="s">
        <v>19</v>
      </c>
      <c r="B26" s="37">
        <f>_xll.qlSwapMaturityDate(B9)</f>
        <v>46389</v>
      </c>
      <c r="C26" s="16">
        <f>_xll.qlSwapMaturityDate(C9)</f>
        <v>46389</v>
      </c>
    </row>
    <row r="27" spans="1:3" x14ac:dyDescent="0.3">
      <c r="A27" s="23" t="s">
        <v>219</v>
      </c>
      <c r="B27" s="42" t="str">
        <f>_xll.qlSwapLeg(B9,1)</f>
        <v>欣[test_swap.xlsx]ConstNotionalCrossCurrencySwap!R27C2CashFlow,A</v>
      </c>
      <c r="C27" s="24" t="str">
        <f>_xll.qlSwapLeg(C9,1)</f>
        <v>欣[test_swap.xlsx]ConstNotionalCrossCurrencySwap!R27C3CashFlow,A</v>
      </c>
    </row>
    <row r="28" spans="1:3" x14ac:dyDescent="0.3">
      <c r="A28" s="28" t="s">
        <v>220</v>
      </c>
      <c r="B28" s="38">
        <f>_xll.qlSwapLegNPV(B9,1,B23)</f>
        <v>95.149431339219987</v>
      </c>
      <c r="C28" s="15">
        <f>_xll.qlSwapLegNPV(C9,1,C23)</f>
        <v>95.149431339219987</v>
      </c>
    </row>
    <row r="29" spans="1:3" x14ac:dyDescent="0.3">
      <c r="A29" s="23" t="s">
        <v>221</v>
      </c>
      <c r="B29" s="42">
        <f>_xll.qlSwapLegBPS(B9,1,B23)</f>
        <v>0</v>
      </c>
      <c r="C29" s="24">
        <f>_xll.qlSwapLegBPS(C9,1,C23)</f>
        <v>0</v>
      </c>
    </row>
    <row r="30" spans="1:3" x14ac:dyDescent="0.3">
      <c r="A30" s="28" t="s">
        <v>222</v>
      </c>
      <c r="B30" s="38">
        <f>_xll.qlSwapStartDiscounts(B9,1,B23)</f>
        <v>0.96110536706282801</v>
      </c>
      <c r="C30" s="15">
        <f>_xll.qlSwapStartDiscounts(C9,1,C23)</f>
        <v>0.96110536706282801</v>
      </c>
    </row>
    <row r="31" spans="1:3" x14ac:dyDescent="0.3">
      <c r="A31" s="23" t="s">
        <v>223</v>
      </c>
      <c r="B31" s="42">
        <f>_xll.qlSwapEndDiscounts(B9,1,B23)</f>
        <v>0.96110536706282801</v>
      </c>
      <c r="C31" s="24">
        <f>_xll.qlSwapEndDiscounts(C9,1,C23)</f>
        <v>0.96110536706282801</v>
      </c>
    </row>
    <row r="32" spans="1:3" x14ac:dyDescent="0.3">
      <c r="A32" s="28" t="s">
        <v>20</v>
      </c>
      <c r="B32" s="38"/>
      <c r="C32" s="15"/>
    </row>
    <row r="33" spans="1:3" x14ac:dyDescent="0.3">
      <c r="A33" s="44" t="s">
        <v>218</v>
      </c>
      <c r="B33" s="42" t="b">
        <f>_xll.qlSwapPayer(B9,0)</f>
        <v>1</v>
      </c>
      <c r="C33" s="24" t="b">
        <f>_xll.qlSwapPayer(C9,0)</f>
        <v>1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AD2D-FF19-4B95-8640-104B346420CD}">
  <dimension ref="A1:C3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7.88671875" customWidth="1"/>
    <col min="2" max="2" width="102.109375" style="11" customWidth="1"/>
    <col min="3" max="3" width="105.109375" style="11" bestFit="1" customWidth="1"/>
    <col min="6" max="6" width="18.33203125" customWidth="1"/>
    <col min="7" max="7" width="69" customWidth="1"/>
  </cols>
  <sheetData>
    <row r="1" spans="1:3" x14ac:dyDescent="0.3">
      <c r="A1" s="30" t="s">
        <v>13</v>
      </c>
      <c r="B1" s="13">
        <v>45665</v>
      </c>
    </row>
    <row r="2" spans="1:3" x14ac:dyDescent="0.3">
      <c r="A2" s="32" t="s">
        <v>14</v>
      </c>
      <c r="B2" s="35">
        <f>_xll.qlSettingsSetEvaluationDate(B1)</f>
        <v>45665</v>
      </c>
    </row>
    <row r="4" spans="1:3" x14ac:dyDescent="0.3">
      <c r="A4" s="12" t="s">
        <v>332</v>
      </c>
      <c r="B4" s="72">
        <v>46389</v>
      </c>
      <c r="C4" s="13">
        <v>46389</v>
      </c>
    </row>
    <row r="5" spans="1:3" x14ac:dyDescent="0.3">
      <c r="A5" s="30" t="s">
        <v>57</v>
      </c>
      <c r="B5" s="36" t="str" cm="1">
        <f t="array" ref="B5">_xll.qlSimpleCashFlow(100,B4)</f>
        <v>欣[test_swap.xlsx]ConstNotionalCrossCurrencySwapN!R5C2SimpleCashFlow,A</v>
      </c>
      <c r="C5" s="22" t="str" cm="1">
        <f t="array" ref="C5">_xll.qlSimpleCashFlow(100,C4)</f>
        <v>欣[test_swap.xlsx]ConstNotionalCrossCurrencySwapN!R5C3SimpleCashFlow,A</v>
      </c>
    </row>
    <row r="6" spans="1:3" x14ac:dyDescent="0.3">
      <c r="A6" s="32" t="s">
        <v>57</v>
      </c>
      <c r="B6" s="39" t="str" cm="1">
        <f t="array" ref="B6">_xll.qlSimpleCashFlow(90,B4)</f>
        <v>欣[test_swap.xlsx]ConstNotionalCrossCurrencySwapN!R6C2SimpleCashFlow,A</v>
      </c>
      <c r="C6" s="17" t="str" cm="1">
        <f t="array" ref="C6">_xll.qlSimpleCashFlow(90,C4)</f>
        <v>欣[test_swap.xlsx]ConstNotionalCrossCurrencySwapN!R6C3SimpleCashFlow,A</v>
      </c>
    </row>
    <row r="7" spans="1:3" x14ac:dyDescent="0.3">
      <c r="A7" s="30" t="s">
        <v>58</v>
      </c>
      <c r="B7" s="36" t="b">
        <v>1</v>
      </c>
      <c r="C7" s="22" t="b">
        <v>1</v>
      </c>
    </row>
    <row r="8" spans="1:3" x14ac:dyDescent="0.3">
      <c r="A8" s="32" t="s">
        <v>58</v>
      </c>
      <c r="B8" s="39" t="b">
        <v>0</v>
      </c>
      <c r="C8" s="17" t="b">
        <v>0</v>
      </c>
    </row>
    <row r="9" spans="1:3" x14ac:dyDescent="0.3">
      <c r="A9" s="30" t="s">
        <v>341</v>
      </c>
      <c r="B9" s="36" t="s">
        <v>333</v>
      </c>
      <c r="C9" s="22" t="s">
        <v>333</v>
      </c>
    </row>
    <row r="10" spans="1:3" x14ac:dyDescent="0.3">
      <c r="A10" s="32" t="s">
        <v>341</v>
      </c>
      <c r="B10" s="39" t="s">
        <v>165</v>
      </c>
      <c r="C10" s="17" t="s">
        <v>165</v>
      </c>
    </row>
    <row r="11" spans="1:3" x14ac:dyDescent="0.3">
      <c r="A11" s="18" t="s">
        <v>319</v>
      </c>
      <c r="B11" s="39" t="str" cm="1">
        <f t="array" ref="B11">_xll.qlConstNotionalCrossCurrencySwapN(B5:B6,B7:B8,B9:B10)</f>
        <v>欣[test_swap.xlsx]ConstNotionalCrossCurrencySwapN!R11C2ConstNotionalCrossCurrencySwap,A</v>
      </c>
      <c r="C11" s="39" t="str" cm="1">
        <f t="array" ref="C11">_xll.qlConstNotionalCrossCurrencySwapN(C5:C6,C7:C8,C9:C10)</f>
        <v>欣[test_swap.xlsx]ConstNotionalCrossCurrencySwapN!R11C3ConstNotionalCrossCurrencySwap,A</v>
      </c>
    </row>
    <row r="12" spans="1:3" x14ac:dyDescent="0.3">
      <c r="A12" s="28" t="s">
        <v>322</v>
      </c>
      <c r="B12" s="38" t="str" cm="1">
        <f t="array" ref="B12">_xll.qlConstNotionalCrossCurrencySwapLegCurrency(B11,1)</f>
        <v>欣[test_swap.xlsx]ConstNotionalCrossCurrencySwapN!R12C2Currency,A</v>
      </c>
      <c r="C12" s="15" t="str" cm="1">
        <f t="array" ref="C12">_xll.qlConstNotionalCrossCurrencySwapLegCurrency(C11,1)</f>
        <v>欣[test_swap.xlsx]ConstNotionalCrossCurrencySwapN!R12C3Currency,A</v>
      </c>
    </row>
    <row r="13" spans="1:3" x14ac:dyDescent="0.3">
      <c r="A13" s="40" t="s">
        <v>334</v>
      </c>
      <c r="B13" s="36" t="s">
        <v>333</v>
      </c>
      <c r="C13" s="22" t="s">
        <v>333</v>
      </c>
    </row>
    <row r="14" spans="1:3" x14ac:dyDescent="0.3">
      <c r="A14" s="41" t="s">
        <v>335</v>
      </c>
      <c r="B14" s="38" t="str" cm="1">
        <f t="array" ref="B14">_xll.qlFlatForward($B$1,0.02,"Actual365Fixed")</f>
        <v>欣[test_swap.xlsx]ConstNotionalCrossCurrencySwapN!R14C2YieldTermStructureHandle,A</v>
      </c>
      <c r="C14" s="15" t="str" cm="1">
        <f t="array" ref="C14">_xll.qlFlatForward($B$1,0.02,"Actual365Fixed")</f>
        <v>欣[test_swap.xlsx]ConstNotionalCrossCurrencySwapN!R14C3YieldTermStructureHandle,A</v>
      </c>
    </row>
    <row r="15" spans="1:3" x14ac:dyDescent="0.3">
      <c r="A15" s="41" t="s">
        <v>336</v>
      </c>
      <c r="B15" s="38" t="s">
        <v>165</v>
      </c>
      <c r="C15" s="15" t="s">
        <v>165</v>
      </c>
    </row>
    <row r="16" spans="1:3" x14ac:dyDescent="0.3">
      <c r="A16" s="41" t="s">
        <v>337</v>
      </c>
      <c r="B16" s="38" t="str" cm="1">
        <f t="array" ref="B16">_xll.qlFlatForward($B$1,0.02,"Actual365Fixed")</f>
        <v>欣[test_swap.xlsx]ConstNotionalCrossCurrencySwapN!R16C2YieldTermStructureHandle,A</v>
      </c>
      <c r="C16" s="15" t="str" cm="1">
        <f t="array" ref="C16">_xll.qlFlatForward($B$1,0.02,"Actual365Fixed")</f>
        <v>欣[test_swap.xlsx]ConstNotionalCrossCurrencySwapN!R16C3YieldTermStructureHandle,A</v>
      </c>
    </row>
    <row r="17" spans="1:3" x14ac:dyDescent="0.3">
      <c r="A17" s="41" t="s">
        <v>338</v>
      </c>
      <c r="B17" s="38">
        <v>1.1000000000000001</v>
      </c>
      <c r="C17" s="15">
        <v>1.1000000000000001</v>
      </c>
    </row>
    <row r="18" spans="1:3" x14ac:dyDescent="0.3">
      <c r="A18" s="41" t="s">
        <v>23</v>
      </c>
      <c r="B18" s="38"/>
      <c r="C18" s="15" t="b">
        <v>0</v>
      </c>
    </row>
    <row r="19" spans="1:3" x14ac:dyDescent="0.3">
      <c r="A19" s="41" t="s">
        <v>24</v>
      </c>
      <c r="B19" s="38"/>
      <c r="C19" s="16">
        <v>45665</v>
      </c>
    </row>
    <row r="20" spans="1:3" x14ac:dyDescent="0.3">
      <c r="A20" s="41" t="s">
        <v>25</v>
      </c>
      <c r="B20" s="38"/>
      <c r="C20" s="16">
        <v>45665</v>
      </c>
    </row>
    <row r="21" spans="1:3" x14ac:dyDescent="0.3">
      <c r="A21" s="41" t="s">
        <v>339</v>
      </c>
      <c r="B21" s="38"/>
      <c r="C21" s="16">
        <v>45665</v>
      </c>
    </row>
    <row r="22" spans="1:3" x14ac:dyDescent="0.3">
      <c r="A22" s="18" t="s">
        <v>331</v>
      </c>
      <c r="B22" s="39" t="str" cm="1">
        <f t="array" ref="B22">_xll.qlDiscountingConstNotionalCrossCurrencySwapEngine(B13,B14,B15,B16,B17)</f>
        <v>欣[test_swap.xlsx]ConstNotionalCrossCurrencySwapN!R22C2DiscountingConstNotionalCrossCurrencySwapEngine,A</v>
      </c>
      <c r="C22" s="17" t="str" cm="1">
        <f t="array" ref="C22">_xll.qlDiscountingConstNotionalCrossCurrencySwapEngine(C13,C14,C15,C16,C17,C18,C19,C20,C21)</f>
        <v>欣[test_swap.xlsx]ConstNotionalCrossCurrencySwapN!R22C3DiscountingConstNotionalCrossCurrencySwapEngine,A</v>
      </c>
    </row>
    <row r="23" spans="1:3" x14ac:dyDescent="0.3">
      <c r="A23" s="47" t="s">
        <v>340</v>
      </c>
      <c r="B23" s="42" t="b" cm="1">
        <f t="array" ref="B23">_xll.qlInstrumentSetPricingEngine(B11,B22)</f>
        <v>1</v>
      </c>
      <c r="C23" s="24" t="b" cm="1">
        <f t="array" ref="C23">_xll.qlInstrumentSetPricingEngine(C11,C22)</f>
        <v>1</v>
      </c>
    </row>
    <row r="24" spans="1:3" x14ac:dyDescent="0.3">
      <c r="A24" s="28" t="s">
        <v>323</v>
      </c>
      <c r="B24" s="38" cm="1">
        <f t="array" ref="B24">_xll.qlConstNotionalCrossCurrencySwapInCcyLegNPV(B11,1,B23)</f>
        <v>86.499483035654521</v>
      </c>
      <c r="C24" s="15" cm="1">
        <f t="array" ref="C24">_xll.qlConstNotionalCrossCurrencySwapInCcyLegNPV(C11,1,C23)</f>
        <v>86.499483035654521</v>
      </c>
    </row>
    <row r="25" spans="1:3" x14ac:dyDescent="0.3">
      <c r="A25" s="23" t="s">
        <v>324</v>
      </c>
      <c r="B25" s="42" cm="1">
        <f t="array" ref="B25">_xll.qlConstNotionalCrossCurrencySwapInCcyLegBPS(B11,1,B23)</f>
        <v>0</v>
      </c>
      <c r="C25" s="24" cm="1">
        <f t="array" ref="C25">_xll.qlConstNotionalCrossCurrencySwapInCcyLegBPS(C11,1,C23)</f>
        <v>0</v>
      </c>
    </row>
    <row r="26" spans="1:3" x14ac:dyDescent="0.3">
      <c r="A26" s="28" t="s">
        <v>17</v>
      </c>
      <c r="B26" s="38">
        <f>_xll.qlSwapNumberOfLegs(B11)</f>
        <v>2</v>
      </c>
      <c r="C26" s="15">
        <f>_xll.qlSwapNumberOfLegs(C11)</f>
        <v>2</v>
      </c>
    </row>
    <row r="27" spans="1:3" x14ac:dyDescent="0.3">
      <c r="A27" s="23" t="s">
        <v>18</v>
      </c>
      <c r="B27" s="43">
        <f>_xll.qlSwapStartDate(B11)</f>
        <v>46389</v>
      </c>
      <c r="C27" s="25">
        <f>_xll.qlSwapStartDate(C11)</f>
        <v>46389</v>
      </c>
    </row>
    <row r="28" spans="1:3" x14ac:dyDescent="0.3">
      <c r="A28" s="28" t="s">
        <v>19</v>
      </c>
      <c r="B28" s="37">
        <f>_xll.qlSwapMaturityDate(B11)</f>
        <v>46389</v>
      </c>
      <c r="C28" s="16">
        <f>_xll.qlSwapMaturityDate(C11)</f>
        <v>46389</v>
      </c>
    </row>
    <row r="29" spans="1:3" x14ac:dyDescent="0.3">
      <c r="A29" s="23" t="s">
        <v>219</v>
      </c>
      <c r="B29" s="42" t="str">
        <f>_xll.qlSwapLeg(B11,1)</f>
        <v>欣[test_swap.xlsx]ConstNotionalCrossCurrencySwapN!R29C2CashFlow,A</v>
      </c>
      <c r="C29" s="24" t="str">
        <f>_xll.qlSwapLeg(C11,1)</f>
        <v>欣[test_swap.xlsx]ConstNotionalCrossCurrencySwapN!R29C3CashFlow,A</v>
      </c>
    </row>
    <row r="30" spans="1:3" x14ac:dyDescent="0.3">
      <c r="A30" s="28" t="s">
        <v>220</v>
      </c>
      <c r="B30" s="38">
        <f>_xll.qlSwapLegNPV(B11,1,B25)</f>
        <v>95.149431339219987</v>
      </c>
      <c r="C30" s="15">
        <f>_xll.qlSwapLegNPV(C11,1,C25)</f>
        <v>95.149431339219987</v>
      </c>
    </row>
    <row r="31" spans="1:3" x14ac:dyDescent="0.3">
      <c r="A31" s="23" t="s">
        <v>221</v>
      </c>
      <c r="B31" s="42">
        <f>_xll.qlSwapLegBPS(B11,1,B25)</f>
        <v>0</v>
      </c>
      <c r="C31" s="24">
        <f>_xll.qlSwapLegBPS(C11,1,C25)</f>
        <v>0</v>
      </c>
    </row>
    <row r="32" spans="1:3" x14ac:dyDescent="0.3">
      <c r="A32" s="28" t="s">
        <v>222</v>
      </c>
      <c r="B32" s="38">
        <f>_xll.qlSwapStartDiscounts(B11,1,B25)</f>
        <v>0.96110536706282801</v>
      </c>
      <c r="C32" s="15">
        <f>_xll.qlSwapStartDiscounts(C11,1,C25)</f>
        <v>0.96110536706282801</v>
      </c>
    </row>
    <row r="33" spans="1:3" x14ac:dyDescent="0.3">
      <c r="A33" s="23" t="s">
        <v>223</v>
      </c>
      <c r="B33" s="42">
        <f>_xll.qlSwapEndDiscounts(B11,1,B25)</f>
        <v>0.96110536706282801</v>
      </c>
      <c r="C33" s="24">
        <f>_xll.qlSwapEndDiscounts(C11,1,C25)</f>
        <v>0.96110536706282801</v>
      </c>
    </row>
    <row r="34" spans="1:3" x14ac:dyDescent="0.3">
      <c r="A34" s="28" t="s">
        <v>20</v>
      </c>
      <c r="B34" s="38"/>
      <c r="C34" s="15"/>
    </row>
    <row r="35" spans="1:3" x14ac:dyDescent="0.3">
      <c r="A35" s="44" t="s">
        <v>218</v>
      </c>
      <c r="B35" s="42" t="b">
        <f>_xll.qlSwapPayer(B11,0)</f>
        <v>1</v>
      </c>
      <c r="C35" s="24" t="b">
        <f>_xll.qlSwapPayer(C11,0)</f>
        <v>1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47AD-31AB-407B-A837-F642F8F83041}">
  <dimension ref="A1:C7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7.88671875" customWidth="1"/>
    <col min="2" max="2" width="100.33203125" style="11" customWidth="1"/>
    <col min="3" max="3" width="104.109375" style="11" bestFit="1" customWidth="1"/>
    <col min="6" max="6" width="18.33203125" customWidth="1"/>
    <col min="7" max="7" width="69" customWidth="1"/>
  </cols>
  <sheetData>
    <row r="1" spans="1:3" x14ac:dyDescent="0.3">
      <c r="A1" s="30" t="s">
        <v>13</v>
      </c>
      <c r="B1" s="13">
        <v>45665</v>
      </c>
    </row>
    <row r="2" spans="1:3" x14ac:dyDescent="0.3">
      <c r="A2" s="32" t="s">
        <v>14</v>
      </c>
      <c r="B2" s="35">
        <f>_xll.qlSettingsSetEvaluationDate(B1)</f>
        <v>45665</v>
      </c>
    </row>
    <row r="4" spans="1:3" x14ac:dyDescent="0.3">
      <c r="A4" s="30" t="s">
        <v>229</v>
      </c>
      <c r="B4" s="36" t="s">
        <v>303</v>
      </c>
      <c r="C4" s="22" t="s">
        <v>303</v>
      </c>
    </row>
    <row r="5" spans="1:3" x14ac:dyDescent="0.3">
      <c r="A5" s="31" t="s">
        <v>76</v>
      </c>
      <c r="B5" s="38">
        <v>100</v>
      </c>
      <c r="C5" s="15">
        <v>100</v>
      </c>
    </row>
    <row r="6" spans="1:3" x14ac:dyDescent="0.3">
      <c r="A6" s="31" t="s">
        <v>342</v>
      </c>
      <c r="B6" s="38" t="s">
        <v>333</v>
      </c>
      <c r="C6" s="15" t="s">
        <v>333</v>
      </c>
    </row>
    <row r="7" spans="1:3" x14ac:dyDescent="0.3">
      <c r="A7" s="12" t="s">
        <v>230</v>
      </c>
      <c r="B7" s="72">
        <v>45665</v>
      </c>
      <c r="C7" s="13">
        <v>45665</v>
      </c>
    </row>
    <row r="8" spans="1:3" x14ac:dyDescent="0.3">
      <c r="A8" s="14" t="s">
        <v>231</v>
      </c>
      <c r="B8" s="37">
        <v>46389</v>
      </c>
      <c r="C8" s="16">
        <v>46389</v>
      </c>
    </row>
    <row r="9" spans="1:3" x14ac:dyDescent="0.3">
      <c r="A9" s="14" t="s">
        <v>44</v>
      </c>
      <c r="B9" s="38" t="s">
        <v>311</v>
      </c>
      <c r="C9" s="15" t="s">
        <v>311</v>
      </c>
    </row>
    <row r="10" spans="1:3" x14ac:dyDescent="0.3">
      <c r="A10" s="14" t="s">
        <v>109</v>
      </c>
      <c r="B10" s="38" t="s">
        <v>299</v>
      </c>
      <c r="C10" s="15" t="s">
        <v>299</v>
      </c>
    </row>
    <row r="11" spans="1:3" x14ac:dyDescent="0.3">
      <c r="A11" s="14" t="s">
        <v>46</v>
      </c>
      <c r="B11" s="38" t="s">
        <v>75</v>
      </c>
      <c r="C11" s="15" t="s">
        <v>75</v>
      </c>
    </row>
    <row r="12" spans="1:3" x14ac:dyDescent="0.3">
      <c r="A12" s="14" t="s">
        <v>266</v>
      </c>
      <c r="B12" s="38" t="s">
        <v>75</v>
      </c>
      <c r="C12" s="15" t="s">
        <v>75</v>
      </c>
    </row>
    <row r="13" spans="1:3" x14ac:dyDescent="0.3">
      <c r="A13" s="14" t="s">
        <v>232</v>
      </c>
      <c r="B13" s="38" t="s">
        <v>256</v>
      </c>
      <c r="C13" s="15" t="s">
        <v>256</v>
      </c>
    </row>
    <row r="14" spans="1:3" x14ac:dyDescent="0.3">
      <c r="A14" s="14" t="s">
        <v>268</v>
      </c>
      <c r="B14" s="38" t="b">
        <v>0</v>
      </c>
      <c r="C14" s="15" t="b">
        <v>0</v>
      </c>
    </row>
    <row r="15" spans="1:3" x14ac:dyDescent="0.3">
      <c r="A15" s="32" t="s">
        <v>62</v>
      </c>
      <c r="B15" s="39" t="str" cm="1">
        <f t="array" ref="B15">_xll.qlSchedule(B7,B8,B9,B10,B11,B12,B13,B14)</f>
        <v>欣[test_swap.xlsx]ConstNotionalCrossCurrencyFixVs!R15C2Schedule,A</v>
      </c>
      <c r="C15" s="17" t="str" cm="1">
        <f t="array" ref="C15">_xll.qlSchedule(C7,C8,C9,C10,C11,C12,C13,C14)</f>
        <v>欣[test_swap.xlsx]ConstNotionalCrossCurrencyFixVs!R15C3Schedule,A</v>
      </c>
    </row>
    <row r="16" spans="1:3" x14ac:dyDescent="0.3">
      <c r="A16" s="31" t="s">
        <v>63</v>
      </c>
      <c r="B16" s="38">
        <v>0.03</v>
      </c>
      <c r="C16" s="15">
        <v>0.03</v>
      </c>
    </row>
    <row r="17" spans="1:3" x14ac:dyDescent="0.3">
      <c r="A17" s="31" t="s">
        <v>64</v>
      </c>
      <c r="B17" s="38" t="s">
        <v>358</v>
      </c>
      <c r="C17" s="15" t="s">
        <v>358</v>
      </c>
    </row>
    <row r="18" spans="1:3" x14ac:dyDescent="0.3">
      <c r="A18" s="31" t="s">
        <v>343</v>
      </c>
      <c r="B18" s="38" t="s">
        <v>75</v>
      </c>
      <c r="C18" s="15" t="s">
        <v>75</v>
      </c>
    </row>
    <row r="19" spans="1:3" x14ac:dyDescent="0.3">
      <c r="A19" s="31" t="s">
        <v>344</v>
      </c>
      <c r="B19" s="38">
        <v>0</v>
      </c>
      <c r="C19" s="15">
        <v>0</v>
      </c>
    </row>
    <row r="20" spans="1:3" x14ac:dyDescent="0.3">
      <c r="A20" s="31" t="s">
        <v>345</v>
      </c>
      <c r="B20" s="38" t="s">
        <v>299</v>
      </c>
      <c r="C20" s="15" t="s">
        <v>299</v>
      </c>
    </row>
    <row r="21" spans="1:3" x14ac:dyDescent="0.3">
      <c r="A21" s="31" t="s">
        <v>346</v>
      </c>
      <c r="B21" s="38">
        <v>90</v>
      </c>
      <c r="C21" s="15">
        <v>90</v>
      </c>
    </row>
    <row r="22" spans="1:3" x14ac:dyDescent="0.3">
      <c r="A22" s="31" t="s">
        <v>347</v>
      </c>
      <c r="B22" s="38" t="s">
        <v>165</v>
      </c>
      <c r="C22" s="15" t="s">
        <v>165</v>
      </c>
    </row>
    <row r="23" spans="1:3" x14ac:dyDescent="0.3">
      <c r="A23" s="12" t="s">
        <v>230</v>
      </c>
      <c r="B23" s="72">
        <v>45665</v>
      </c>
      <c r="C23" s="13">
        <v>45665</v>
      </c>
    </row>
    <row r="24" spans="1:3" x14ac:dyDescent="0.3">
      <c r="A24" s="14" t="s">
        <v>231</v>
      </c>
      <c r="B24" s="37">
        <v>46389</v>
      </c>
      <c r="C24" s="16">
        <v>46389</v>
      </c>
    </row>
    <row r="25" spans="1:3" x14ac:dyDescent="0.3">
      <c r="A25" s="14" t="s">
        <v>44</v>
      </c>
      <c r="B25" s="38" t="s">
        <v>359</v>
      </c>
      <c r="C25" s="15" t="s">
        <v>359</v>
      </c>
    </row>
    <row r="26" spans="1:3" x14ac:dyDescent="0.3">
      <c r="A26" s="14" t="s">
        <v>109</v>
      </c>
      <c r="B26" s="38" t="s">
        <v>299</v>
      </c>
      <c r="C26" s="15" t="s">
        <v>299</v>
      </c>
    </row>
    <row r="27" spans="1:3" x14ac:dyDescent="0.3">
      <c r="A27" s="14" t="s">
        <v>46</v>
      </c>
      <c r="B27" s="38" t="s">
        <v>75</v>
      </c>
      <c r="C27" s="15" t="s">
        <v>75</v>
      </c>
    </row>
    <row r="28" spans="1:3" x14ac:dyDescent="0.3">
      <c r="A28" s="14" t="s">
        <v>266</v>
      </c>
      <c r="B28" s="38" t="s">
        <v>75</v>
      </c>
      <c r="C28" s="15" t="s">
        <v>75</v>
      </c>
    </row>
    <row r="29" spans="1:3" x14ac:dyDescent="0.3">
      <c r="A29" s="14" t="s">
        <v>232</v>
      </c>
      <c r="B29" s="38" t="s">
        <v>256</v>
      </c>
      <c r="C29" s="15" t="s">
        <v>256</v>
      </c>
    </row>
    <row r="30" spans="1:3" x14ac:dyDescent="0.3">
      <c r="A30" s="14" t="s">
        <v>268</v>
      </c>
      <c r="B30" s="38" t="b">
        <v>0</v>
      </c>
      <c r="C30" s="15" t="b">
        <v>0</v>
      </c>
    </row>
    <row r="31" spans="1:3" x14ac:dyDescent="0.3">
      <c r="A31" s="32" t="s">
        <v>65</v>
      </c>
      <c r="B31" s="39" t="str" cm="1">
        <f t="array" ref="B31">_xll.qlSchedule(B23,B24,B25,B26,B27,B28,B29,B30)</f>
        <v>欣[test_swap.xlsx]ConstNotionalCrossCurrencyFixVs!R31C2Schedule,A</v>
      </c>
      <c r="C31" s="17" t="str" cm="1">
        <f t="array" ref="C31">_xll.qlSchedule(C23,C24,C25,C26,C27,C28,C29,C30)</f>
        <v>欣[test_swap.xlsx]ConstNotionalCrossCurrencyFixVs!R31C3Schedule,A</v>
      </c>
    </row>
    <row r="32" spans="1:3" x14ac:dyDescent="0.3">
      <c r="A32" s="12" t="s">
        <v>360</v>
      </c>
      <c r="B32" s="36" t="str" cm="1">
        <f t="array" ref="B32">_xll.qlFlatForward(B1,0.02,"actual365fixed")</f>
        <v>欣[test_swap.xlsx]ConstNotionalCrossCurrencyFixVs!R32C2YieldTermStructureHandle,A</v>
      </c>
      <c r="C32" s="22" t="str" cm="1">
        <f t="array" ref="C32">_xll.qlFlatForward(C1,0.02,"actual365fixed")</f>
        <v>欣[test_swap.xlsx]ConstNotionalCrossCurrencyFixVs!R32C3YieldTermStructureHandle,A</v>
      </c>
    </row>
    <row r="33" spans="1:3" x14ac:dyDescent="0.3">
      <c r="A33" s="32" t="s">
        <v>348</v>
      </c>
      <c r="B33" s="39" t="str" cm="1">
        <f t="array" ref="B33">_xll.qlEuribor("6M",B32)</f>
        <v>欣[test_swap.xlsx]ConstNotionalCrossCurrencyFixVs!R33C2Euribor,A</v>
      </c>
      <c r="C33" s="17" t="str" cm="1">
        <f t="array" ref="C33">_xll.qlEuribor("6M",C32)</f>
        <v>欣[test_swap.xlsx]ConstNotionalCrossCurrencyFixVs!R33C3Euribor,A</v>
      </c>
    </row>
    <row r="34" spans="1:3" x14ac:dyDescent="0.3">
      <c r="A34" s="12" t="s">
        <v>361</v>
      </c>
      <c r="B34" s="72">
        <v>45663</v>
      </c>
      <c r="C34" s="13">
        <v>45663</v>
      </c>
    </row>
    <row r="35" spans="1:3" x14ac:dyDescent="0.3">
      <c r="A35" s="14" t="s">
        <v>362</v>
      </c>
      <c r="B35" s="38">
        <v>0.02</v>
      </c>
      <c r="C35" s="15">
        <v>0.02</v>
      </c>
    </row>
    <row r="36" spans="1:3" x14ac:dyDescent="0.3">
      <c r="A36" s="52" t="s">
        <v>363</v>
      </c>
      <c r="B36" s="39" t="b" cm="1">
        <f t="array" ref="B36">_xll.qlIndexAddFixing(B33,B34,B35)</f>
        <v>1</v>
      </c>
      <c r="C36" s="17" t="b" cm="1">
        <f t="array" ref="C36">_xll.qlIndexAddFixing(C33,C34,C35)</f>
        <v>1</v>
      </c>
    </row>
    <row r="37" spans="1:3" x14ac:dyDescent="0.3">
      <c r="A37" s="31" t="s">
        <v>349</v>
      </c>
      <c r="B37" s="38">
        <v>1E-3</v>
      </c>
      <c r="C37" s="15">
        <v>1E-3</v>
      </c>
    </row>
    <row r="38" spans="1:3" x14ac:dyDescent="0.3">
      <c r="A38" s="31" t="s">
        <v>350</v>
      </c>
      <c r="B38" s="38" t="s">
        <v>75</v>
      </c>
      <c r="C38" s="15" t="s">
        <v>75</v>
      </c>
    </row>
    <row r="39" spans="1:3" x14ac:dyDescent="0.3">
      <c r="A39" s="31" t="s">
        <v>351</v>
      </c>
      <c r="B39" s="38">
        <v>0</v>
      </c>
      <c r="C39" s="15">
        <v>0</v>
      </c>
    </row>
    <row r="40" spans="1:3" x14ac:dyDescent="0.3">
      <c r="A40" s="31" t="s">
        <v>352</v>
      </c>
      <c r="B40" s="38" t="s">
        <v>299</v>
      </c>
      <c r="C40" s="15" t="s">
        <v>299</v>
      </c>
    </row>
    <row r="41" spans="1:3" x14ac:dyDescent="0.3">
      <c r="A41" s="31" t="s">
        <v>140</v>
      </c>
      <c r="B41" s="38"/>
      <c r="C41" s="15" t="b">
        <v>0</v>
      </c>
    </row>
    <row r="42" spans="1:3" x14ac:dyDescent="0.3">
      <c r="A42" s="31" t="s">
        <v>353</v>
      </c>
      <c r="B42" s="38"/>
      <c r="C42" s="15" t="b">
        <v>0</v>
      </c>
    </row>
    <row r="43" spans="1:3" x14ac:dyDescent="0.3">
      <c r="A43" s="31" t="s">
        <v>354</v>
      </c>
      <c r="B43" s="38"/>
      <c r="C43" s="15">
        <v>0</v>
      </c>
    </row>
    <row r="44" spans="1:3" x14ac:dyDescent="0.3">
      <c r="A44" s="31" t="s">
        <v>355</v>
      </c>
      <c r="B44" s="38"/>
      <c r="C44" s="15" t="b">
        <v>0</v>
      </c>
    </row>
    <row r="45" spans="1:3" x14ac:dyDescent="0.3">
      <c r="A45" s="41" t="s">
        <v>356</v>
      </c>
      <c r="B45" s="37"/>
      <c r="C45" s="81">
        <v>0</v>
      </c>
    </row>
    <row r="46" spans="1:3" x14ac:dyDescent="0.3">
      <c r="A46" s="31" t="s">
        <v>357</v>
      </c>
      <c r="B46" s="38"/>
      <c r="C46" s="15" t="s">
        <v>305</v>
      </c>
    </row>
    <row r="47" spans="1:3" x14ac:dyDescent="0.3">
      <c r="A47" s="18" t="s">
        <v>325</v>
      </c>
      <c r="B47" s="39" t="str" cm="1">
        <f t="array" ref="B47">_xll.qlConstNotionalCrossCurrencyFixedVsFloatingSwap(B4,B5,B6,B15,B16,B17,B18,B19,B20,B21,B22,B31,B33,B37,B38,B39,B40)</f>
        <v>欣[test_swap.xlsx]ConstNotionalCrossCurrencyFixVs!R47C2ConstNotionalCrossCurrencyFixedVsFloatingSwap,A</v>
      </c>
      <c r="C47" s="17" t="str" cm="1">
        <f t="array" ref="C47">_xll.qlConstNotionalCrossCurrencyFixedVsFloatingSwap(C4,C5,C6,C15,C16,C17,C18,C19,C20,C21,C22,C31,C33,C37,C38,C39,C40,C41,C42,C43,C44,C45,C46)</f>
        <v>欣[test_swap.xlsx]ConstNotionalCrossCurrencyFixVs!R47C3ConstNotionalCrossCurrencyFixedVsFloatingSwap,A</v>
      </c>
    </row>
    <row r="48" spans="1:3" x14ac:dyDescent="0.3">
      <c r="A48" s="18" t="s">
        <v>322</v>
      </c>
      <c r="B48" s="39" t="str" cm="1">
        <f t="array" ref="B48">_xll.qlConstNotionalCrossCurrencySwapLegCurrency(B47,1)</f>
        <v>欣[test_swap.xlsx]ConstNotionalCrossCurrencyFixVs!R48C2Currency,A</v>
      </c>
      <c r="C48" s="17" t="str" cm="1">
        <f t="array" ref="C48">_xll.qlConstNotionalCrossCurrencySwapLegCurrency(C47,1)</f>
        <v>欣[test_swap.xlsx]ConstNotionalCrossCurrencyFixVs!R48C3Currency,A</v>
      </c>
    </row>
    <row r="49" spans="1:3" x14ac:dyDescent="0.3">
      <c r="A49" s="40" t="s">
        <v>334</v>
      </c>
      <c r="B49" s="36" t="s">
        <v>333</v>
      </c>
      <c r="C49" s="22" t="s">
        <v>333</v>
      </c>
    </row>
    <row r="50" spans="1:3" x14ac:dyDescent="0.3">
      <c r="A50" s="41" t="s">
        <v>335</v>
      </c>
      <c r="B50" s="38" t="str" cm="1">
        <f t="array" ref="B50">_xll.qlFlatForward($B$1,0.02,"Actual365Fixed")</f>
        <v>欣[test_swap.xlsx]ConstNotionalCrossCurrencyFixVs!R50C2YieldTermStructureHandle,A</v>
      </c>
      <c r="C50" s="15" t="str" cm="1">
        <f t="array" ref="C50">_xll.qlFlatForward($B$1,0.02,"Actual365Fixed")</f>
        <v>欣[test_swap.xlsx]ConstNotionalCrossCurrencyFixVs!R50C3YieldTermStructureHandle,A</v>
      </c>
    </row>
    <row r="51" spans="1:3" x14ac:dyDescent="0.3">
      <c r="A51" s="41" t="s">
        <v>336</v>
      </c>
      <c r="B51" s="38" t="s">
        <v>165</v>
      </c>
      <c r="C51" s="15" t="s">
        <v>165</v>
      </c>
    </row>
    <row r="52" spans="1:3" x14ac:dyDescent="0.3">
      <c r="A52" s="41" t="s">
        <v>337</v>
      </c>
      <c r="B52" s="38" t="str" cm="1">
        <f t="array" ref="B52">_xll.qlFlatForward($B$1,0.02,"Actual365Fixed")</f>
        <v>欣[test_swap.xlsx]ConstNotionalCrossCurrencyFixVs!R52C2YieldTermStructureHandle,A</v>
      </c>
      <c r="C52" s="15" t="str" cm="1">
        <f t="array" ref="C52">_xll.qlFlatForward($B$1,0.02,"Actual365Fixed")</f>
        <v>欣[test_swap.xlsx]ConstNotionalCrossCurrencyFixVs!R52C3YieldTermStructureHandle,A</v>
      </c>
    </row>
    <row r="53" spans="1:3" x14ac:dyDescent="0.3">
      <c r="A53" s="41" t="s">
        <v>338</v>
      </c>
      <c r="B53" s="38">
        <v>1.1000000000000001</v>
      </c>
      <c r="C53" s="15">
        <v>1.1000000000000001</v>
      </c>
    </row>
    <row r="54" spans="1:3" x14ac:dyDescent="0.3">
      <c r="A54" s="41" t="s">
        <v>23</v>
      </c>
      <c r="B54" s="38"/>
      <c r="C54" s="15" t="b">
        <v>0</v>
      </c>
    </row>
    <row r="55" spans="1:3" x14ac:dyDescent="0.3">
      <c r="A55" s="41" t="s">
        <v>24</v>
      </c>
      <c r="B55" s="38"/>
      <c r="C55" s="16">
        <v>45665</v>
      </c>
    </row>
    <row r="56" spans="1:3" x14ac:dyDescent="0.3">
      <c r="A56" s="41" t="s">
        <v>25</v>
      </c>
      <c r="B56" s="38"/>
      <c r="C56" s="16">
        <v>45665</v>
      </c>
    </row>
    <row r="57" spans="1:3" x14ac:dyDescent="0.3">
      <c r="A57" s="41" t="s">
        <v>339</v>
      </c>
      <c r="B57" s="38"/>
      <c r="C57" s="16">
        <v>45665</v>
      </c>
    </row>
    <row r="58" spans="1:3" x14ac:dyDescent="0.3">
      <c r="A58" s="18" t="s">
        <v>331</v>
      </c>
      <c r="B58" s="39" t="str" cm="1">
        <f t="array" ref="B58">_xll.qlDiscountingConstNotionalCrossCurrencySwapEngine(B49,B50,B51,B52,B53)</f>
        <v>欣[test_swap.xlsx]ConstNotionalCrossCurrencyFixVs!R58C2DiscountingConstNotionalCrossCurrencySwapEngine,A</v>
      </c>
      <c r="C58" s="17" t="str" cm="1">
        <f t="array" ref="C58">_xll.qlDiscountingConstNotionalCrossCurrencySwapEngine(C49,C50,C51,C52,C53,C54,C55,C56,C57)</f>
        <v>欣[test_swap.xlsx]ConstNotionalCrossCurrencyFixVs!R58C3DiscountingConstNotionalCrossCurrencySwapEngine,A</v>
      </c>
    </row>
    <row r="59" spans="1:3" x14ac:dyDescent="0.3">
      <c r="A59" s="47" t="s">
        <v>340</v>
      </c>
      <c r="B59" s="42" t="b" cm="1">
        <f t="array" ref="B59">_xll.qlInstrumentSetPricingEngine(B47,B58)</f>
        <v>1</v>
      </c>
      <c r="C59" s="24" t="b" cm="1">
        <f t="array" ref="C59">_xll.qlInstrumentSetPricingEngine(C47,C58)</f>
        <v>1</v>
      </c>
    </row>
    <row r="60" spans="1:3" x14ac:dyDescent="0.3">
      <c r="A60" s="28" t="s">
        <v>323</v>
      </c>
      <c r="B60" s="38" cm="1">
        <f t="array" ref="B60">_xll.qlConstNotionalCrossCurrencySwapInCcyLegNPV(B47,1,B59)</f>
        <v>90.184931588865567</v>
      </c>
      <c r="C60" s="15" cm="1">
        <f t="array" ref="C60">_xll.qlConstNotionalCrossCurrencySwapInCcyLegNPV(C47,1,C59)</f>
        <v>90.184931588865552</v>
      </c>
    </row>
    <row r="61" spans="1:3" x14ac:dyDescent="0.3">
      <c r="A61" s="23" t="s">
        <v>324</v>
      </c>
      <c r="B61" s="42" cm="1">
        <f t="array" ref="B61">_xll.qlConstNotionalCrossCurrencySwapInCcyLegBPS(B47,1,B59)</f>
        <v>1.7705384815321364E-2</v>
      </c>
      <c r="C61" s="24" cm="1">
        <f t="array" ref="C61">_xll.qlConstNotionalCrossCurrencySwapInCcyLegBPS(C47,1,C59)</f>
        <v>1.7705384815321364E-2</v>
      </c>
    </row>
    <row r="62" spans="1:3" x14ac:dyDescent="0.3">
      <c r="A62" s="28" t="s">
        <v>17</v>
      </c>
      <c r="B62" s="38">
        <f>_xll.qlSwapNumberOfLegs(B47)</f>
        <v>2</v>
      </c>
      <c r="C62" s="15">
        <f>_xll.qlSwapNumberOfLegs(C47)</f>
        <v>2</v>
      </c>
    </row>
    <row r="63" spans="1:3" x14ac:dyDescent="0.3">
      <c r="A63" s="23" t="s">
        <v>18</v>
      </c>
      <c r="B63" s="43">
        <f>_xll.qlSwapStartDate(B47)</f>
        <v>45665</v>
      </c>
      <c r="C63" s="25">
        <f>_xll.qlSwapStartDate(C47)</f>
        <v>45665</v>
      </c>
    </row>
    <row r="64" spans="1:3" x14ac:dyDescent="0.3">
      <c r="A64" s="28" t="s">
        <v>19</v>
      </c>
      <c r="B64" s="37">
        <f>_xll.qlSwapMaturityDate(B47)</f>
        <v>46391</v>
      </c>
      <c r="C64" s="16">
        <f>_xll.qlSwapMaturityDate(C47)</f>
        <v>46391</v>
      </c>
    </row>
    <row r="65" spans="1:3" x14ac:dyDescent="0.3">
      <c r="A65" s="23" t="s">
        <v>219</v>
      </c>
      <c r="B65" s="42" t="str">
        <f>_xll.qlSwapLeg(B47,1)</f>
        <v>欣[test_swap.xlsx]ConstNotionalCrossCurrencyFixVs!R65C2CashFlow,A</v>
      </c>
      <c r="C65" s="24" t="str">
        <f>_xll.qlSwapLeg(C47,1)</f>
        <v>欣[test_swap.xlsx]ConstNotionalCrossCurrencyFixVs!R65C3CashFlow,A</v>
      </c>
    </row>
    <row r="66" spans="1:3" x14ac:dyDescent="0.3">
      <c r="A66" s="28" t="s">
        <v>220</v>
      </c>
      <c r="B66" s="38">
        <f>_xll.qlSwapLegNPV(B47,1,B61)</f>
        <v>99.203424747752138</v>
      </c>
      <c r="C66" s="15">
        <f>_xll.qlSwapLegNPV(C47,1,C61)</f>
        <v>99.203424747752109</v>
      </c>
    </row>
    <row r="67" spans="1:3" x14ac:dyDescent="0.3">
      <c r="A67" s="23" t="s">
        <v>221</v>
      </c>
      <c r="B67" s="42">
        <f>_xll.qlSwapLegBPS(B47,1,B61)</f>
        <v>1.9475923296853503E-2</v>
      </c>
      <c r="C67" s="24">
        <f>_xll.qlSwapLegBPS(C47,1,C61)</f>
        <v>1.9475923296853503E-2</v>
      </c>
    </row>
    <row r="68" spans="1:3" x14ac:dyDescent="0.3">
      <c r="A68" s="28" t="s">
        <v>222</v>
      </c>
      <c r="B68" s="38">
        <f>_xll.qlSwapStartDiscounts(B47,1,B61)</f>
        <v>1</v>
      </c>
      <c r="C68" s="15">
        <f>_xll.qlSwapStartDiscounts(C47,1,C61)</f>
        <v>1</v>
      </c>
    </row>
    <row r="69" spans="1:3" x14ac:dyDescent="0.3">
      <c r="A69" s="23" t="s">
        <v>223</v>
      </c>
      <c r="B69" s="42">
        <f>_xll.qlSwapEndDiscounts(B47,1,B61)</f>
        <v>0.9610000462183701</v>
      </c>
      <c r="C69" s="24">
        <f>_xll.qlSwapEndDiscounts(C47,1,C61)</f>
        <v>0.9610000462183701</v>
      </c>
    </row>
    <row r="70" spans="1:3" x14ac:dyDescent="0.3">
      <c r="A70" s="28" t="s">
        <v>20</v>
      </c>
      <c r="B70" s="38"/>
      <c r="C70" s="15"/>
    </row>
    <row r="71" spans="1:3" x14ac:dyDescent="0.3">
      <c r="A71" s="44" t="s">
        <v>218</v>
      </c>
      <c r="B71" s="42" t="b">
        <f>_xll.qlSwapPayer(B47,0)</f>
        <v>1</v>
      </c>
      <c r="C71" s="24" t="b">
        <f>_xll.qlSwapPayer(C47,0)</f>
        <v>1</v>
      </c>
    </row>
    <row r="72" spans="1:3" x14ac:dyDescent="0.3">
      <c r="A72" s="28" t="s">
        <v>326</v>
      </c>
      <c r="B72" s="38" cm="1">
        <f t="array" ref="B72">_xll.qlConstNotionalCrossCurrencyFixedVsFloatingSwapFairRate(B47,B59)</f>
        <v>1.6074340033091938E-2</v>
      </c>
      <c r="C72" s="15"/>
    </row>
    <row r="73" spans="1:3" x14ac:dyDescent="0.3">
      <c r="A73" s="23" t="s">
        <v>327</v>
      </c>
      <c r="B73" s="42" cm="1">
        <f t="array" ref="B73">_xll.qlConstNotionalCrossCurrencyFixedVsFloatingSwapFairSpread(B47,B59)</f>
        <v>1.4804642119468473E-2</v>
      </c>
      <c r="C73" s="24"/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E842-24D6-4A82-810F-062DB6CCC90B}">
  <dimension ref="A1:C7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7.88671875" customWidth="1"/>
    <col min="2" max="2" width="100.33203125" style="11" customWidth="1"/>
    <col min="3" max="3" width="104.109375" style="11" bestFit="1" customWidth="1"/>
    <col min="6" max="6" width="18.33203125" customWidth="1"/>
    <col min="7" max="7" width="69" customWidth="1"/>
  </cols>
  <sheetData>
    <row r="1" spans="1:3" x14ac:dyDescent="0.3">
      <c r="A1" s="30" t="s">
        <v>13</v>
      </c>
      <c r="B1" s="13">
        <v>45665</v>
      </c>
    </row>
    <row r="2" spans="1:3" x14ac:dyDescent="0.3">
      <c r="A2" s="32" t="s">
        <v>14</v>
      </c>
      <c r="B2" s="35">
        <f>_xll.qlSettingsSetEvaluationDate(B1)</f>
        <v>45665</v>
      </c>
    </row>
    <row r="4" spans="1:3" x14ac:dyDescent="0.3">
      <c r="A4" s="30" t="s">
        <v>364</v>
      </c>
      <c r="B4" s="36">
        <v>100</v>
      </c>
      <c r="C4" s="22">
        <v>100</v>
      </c>
    </row>
    <row r="5" spans="1:3" x14ac:dyDescent="0.3">
      <c r="A5" s="31" t="s">
        <v>365</v>
      </c>
      <c r="B5" s="38" t="s">
        <v>333</v>
      </c>
      <c r="C5" s="15" t="s">
        <v>333</v>
      </c>
    </row>
    <row r="6" spans="1:3" x14ac:dyDescent="0.3">
      <c r="A6" s="12" t="s">
        <v>230</v>
      </c>
      <c r="B6" s="72">
        <v>45665</v>
      </c>
      <c r="C6" s="13">
        <v>45665</v>
      </c>
    </row>
    <row r="7" spans="1:3" x14ac:dyDescent="0.3">
      <c r="A7" s="14" t="s">
        <v>231</v>
      </c>
      <c r="B7" s="37">
        <v>46389</v>
      </c>
      <c r="C7" s="16">
        <v>46389</v>
      </c>
    </row>
    <row r="8" spans="1:3" x14ac:dyDescent="0.3">
      <c r="A8" s="14" t="s">
        <v>44</v>
      </c>
      <c r="B8" s="38" t="s">
        <v>359</v>
      </c>
      <c r="C8" s="15" t="s">
        <v>359</v>
      </c>
    </row>
    <row r="9" spans="1:3" x14ac:dyDescent="0.3">
      <c r="A9" s="14" t="s">
        <v>109</v>
      </c>
      <c r="B9" s="38" t="s">
        <v>299</v>
      </c>
      <c r="C9" s="15" t="s">
        <v>299</v>
      </c>
    </row>
    <row r="10" spans="1:3" x14ac:dyDescent="0.3">
      <c r="A10" s="14" t="s">
        <v>46</v>
      </c>
      <c r="B10" s="38" t="s">
        <v>75</v>
      </c>
      <c r="C10" s="15" t="s">
        <v>75</v>
      </c>
    </row>
    <row r="11" spans="1:3" x14ac:dyDescent="0.3">
      <c r="A11" s="14" t="s">
        <v>266</v>
      </c>
      <c r="B11" s="38" t="s">
        <v>75</v>
      </c>
      <c r="C11" s="15" t="s">
        <v>75</v>
      </c>
    </row>
    <row r="12" spans="1:3" x14ac:dyDescent="0.3">
      <c r="A12" s="14" t="s">
        <v>232</v>
      </c>
      <c r="B12" s="38" t="s">
        <v>256</v>
      </c>
      <c r="C12" s="15" t="s">
        <v>256</v>
      </c>
    </row>
    <row r="13" spans="1:3" x14ac:dyDescent="0.3">
      <c r="A13" s="14" t="s">
        <v>268</v>
      </c>
      <c r="B13" s="38" t="b">
        <v>0</v>
      </c>
      <c r="C13" s="15" t="b">
        <v>0</v>
      </c>
    </row>
    <row r="14" spans="1:3" x14ac:dyDescent="0.3">
      <c r="A14" s="32" t="s">
        <v>366</v>
      </c>
      <c r="B14" s="39" t="str" cm="1">
        <f t="array" ref="B14">_xll.qlSchedule(B6,B7,B8,B9,B10,B11,B12,B13)</f>
        <v>欣[test_swap.xlsx]ConstNotionalCrossCurrencyBasis!R14C2Schedule,A</v>
      </c>
      <c r="C14" s="17" t="str" cm="1">
        <f t="array" ref="C14">_xll.qlSchedule(C6,C7,C8,C9,C10,C11,C12,C13)</f>
        <v>欣[test_swap.xlsx]ConstNotionalCrossCurrencyBasis!R14C3Schedule,A</v>
      </c>
    </row>
    <row r="15" spans="1:3" x14ac:dyDescent="0.3">
      <c r="A15" s="14" t="s">
        <v>360</v>
      </c>
      <c r="B15" s="38" t="str" cm="1">
        <f t="array" ref="B15">_xll.qlFlatForward($B$1,0.02,"Actual365Fixed")</f>
        <v>欣[test_swap.xlsx]ConstNotionalCrossCurrencyBasis!R15C2YieldTermStructureHandle,A</v>
      </c>
      <c r="C15" s="15" t="str" cm="1">
        <f t="array" ref="C15">_xll.qlFlatForward($B$1,0.02,"Actual365Fixed")</f>
        <v>欣[test_swap.xlsx]ConstNotionalCrossCurrencyBasis!R15C3YieldTermStructureHandle,A</v>
      </c>
    </row>
    <row r="16" spans="1:3" x14ac:dyDescent="0.3">
      <c r="A16" s="31" t="s">
        <v>367</v>
      </c>
      <c r="B16" s="38" t="str" cm="1">
        <f t="array" ref="B16">_xll.qlUSDLibor("6M",B15)</f>
        <v>欣[test_swap.xlsx]ConstNotionalCrossCurrencyBasis!R16C2USDLibor,A</v>
      </c>
      <c r="C16" s="15" t="str" cm="1">
        <f t="array" ref="C16">_xll.qlUSDLibor("6M",C15)</f>
        <v>欣[test_swap.xlsx]ConstNotionalCrossCurrencyBasis!R16C3USDLibor,A</v>
      </c>
    </row>
    <row r="17" spans="1:3" x14ac:dyDescent="0.3">
      <c r="A17" s="14" t="s">
        <v>388</v>
      </c>
      <c r="B17" s="37">
        <v>45663</v>
      </c>
      <c r="C17" s="16">
        <v>45663</v>
      </c>
    </row>
    <row r="18" spans="1:3" x14ac:dyDescent="0.3">
      <c r="A18" s="14" t="s">
        <v>362</v>
      </c>
      <c r="B18" s="38">
        <v>0.02</v>
      </c>
      <c r="C18" s="15">
        <v>0.02</v>
      </c>
    </row>
    <row r="19" spans="1:3" x14ac:dyDescent="0.3">
      <c r="A19" s="14" t="s">
        <v>363</v>
      </c>
      <c r="B19" s="38" t="b" cm="1">
        <f t="array" ref="B19">_xll.qlIndexAddFixing(B16,B17,B18)</f>
        <v>1</v>
      </c>
      <c r="C19" s="15" t="b" cm="1">
        <f t="array" ref="C19">_xll.qlIndexAddFixing(C16,C17,C18)</f>
        <v>1</v>
      </c>
    </row>
    <row r="20" spans="1:3" x14ac:dyDescent="0.3">
      <c r="A20" s="31" t="s">
        <v>368</v>
      </c>
      <c r="B20" s="38">
        <v>1E-3</v>
      </c>
      <c r="C20" s="15">
        <v>1E-3</v>
      </c>
    </row>
    <row r="21" spans="1:3" x14ac:dyDescent="0.3">
      <c r="A21" s="31" t="s">
        <v>369</v>
      </c>
      <c r="B21" s="38">
        <v>1</v>
      </c>
      <c r="C21" s="15">
        <v>1</v>
      </c>
    </row>
    <row r="22" spans="1:3" x14ac:dyDescent="0.3">
      <c r="A22" s="31" t="s">
        <v>370</v>
      </c>
      <c r="B22" s="38">
        <v>90</v>
      </c>
      <c r="C22" s="15">
        <v>90</v>
      </c>
    </row>
    <row r="23" spans="1:3" x14ac:dyDescent="0.3">
      <c r="A23" s="31" t="s">
        <v>371</v>
      </c>
      <c r="B23" s="38" t="s">
        <v>165</v>
      </c>
      <c r="C23" s="15" t="s">
        <v>165</v>
      </c>
    </row>
    <row r="24" spans="1:3" x14ac:dyDescent="0.3">
      <c r="A24" s="12" t="s">
        <v>230</v>
      </c>
      <c r="B24" s="72">
        <v>45665</v>
      </c>
      <c r="C24" s="13">
        <v>45665</v>
      </c>
    </row>
    <row r="25" spans="1:3" x14ac:dyDescent="0.3">
      <c r="A25" s="14" t="s">
        <v>231</v>
      </c>
      <c r="B25" s="37">
        <v>46389</v>
      </c>
      <c r="C25" s="16">
        <v>46389</v>
      </c>
    </row>
    <row r="26" spans="1:3" x14ac:dyDescent="0.3">
      <c r="A26" s="14" t="s">
        <v>44</v>
      </c>
      <c r="B26" s="38" t="s">
        <v>359</v>
      </c>
      <c r="C26" s="15" t="s">
        <v>359</v>
      </c>
    </row>
    <row r="27" spans="1:3" x14ac:dyDescent="0.3">
      <c r="A27" s="14" t="s">
        <v>109</v>
      </c>
      <c r="B27" s="38" t="s">
        <v>299</v>
      </c>
      <c r="C27" s="15" t="s">
        <v>299</v>
      </c>
    </row>
    <row r="28" spans="1:3" x14ac:dyDescent="0.3">
      <c r="A28" s="14" t="s">
        <v>46</v>
      </c>
      <c r="B28" s="38" t="s">
        <v>75</v>
      </c>
      <c r="C28" s="15" t="s">
        <v>75</v>
      </c>
    </row>
    <row r="29" spans="1:3" x14ac:dyDescent="0.3">
      <c r="A29" s="14" t="s">
        <v>266</v>
      </c>
      <c r="B29" s="38" t="s">
        <v>75</v>
      </c>
      <c r="C29" s="15" t="s">
        <v>75</v>
      </c>
    </row>
    <row r="30" spans="1:3" x14ac:dyDescent="0.3">
      <c r="A30" s="14" t="s">
        <v>232</v>
      </c>
      <c r="B30" s="38" t="s">
        <v>256</v>
      </c>
      <c r="C30" s="15" t="s">
        <v>256</v>
      </c>
    </row>
    <row r="31" spans="1:3" x14ac:dyDescent="0.3">
      <c r="A31" s="14" t="s">
        <v>268</v>
      </c>
      <c r="B31" s="38" t="b">
        <v>0</v>
      </c>
      <c r="C31" s="15" t="b">
        <v>0</v>
      </c>
    </row>
    <row r="32" spans="1:3" x14ac:dyDescent="0.3">
      <c r="A32" s="32" t="s">
        <v>372</v>
      </c>
      <c r="B32" s="39" t="str" cm="1">
        <f t="array" ref="B32">_xll.qlSchedule(B24,B25,B26,B27,B28,B29,B30,B31)</f>
        <v>欣[test_swap.xlsx]ConstNotionalCrossCurrencyBasis!R32C2Schedule,A</v>
      </c>
      <c r="C32" s="17" t="str" cm="1">
        <f t="array" ref="C32">_xll.qlSchedule(C24,C25,C26,C27,C28,C29,C30,C31)</f>
        <v>欣[test_swap.xlsx]ConstNotionalCrossCurrencyBasis!R32C3Schedule,A</v>
      </c>
    </row>
    <row r="33" spans="1:3" x14ac:dyDescent="0.3">
      <c r="A33" s="83" t="s">
        <v>360</v>
      </c>
      <c r="B33" s="38" t="str" cm="1">
        <f t="array" ref="B33">_xll.qlFlatForward($B$1,0.02,"Actual365Fixed")</f>
        <v>欣[test_swap.xlsx]ConstNotionalCrossCurrencyBasis!R33C2YieldTermStructureHandle,A</v>
      </c>
      <c r="C33" s="15" t="str" cm="1">
        <f t="array" ref="C33">_xll.qlFlatForward($B$1,0.02,"Actual365Fixed")</f>
        <v>欣[test_swap.xlsx]ConstNotionalCrossCurrencyBasis!R33C3YieldTermStructureHandle,A</v>
      </c>
    </row>
    <row r="34" spans="1:3" x14ac:dyDescent="0.3">
      <c r="A34" s="31" t="s">
        <v>373</v>
      </c>
      <c r="B34" s="38" t="str" cm="1">
        <f t="array" ref="B34">_xll.qlEuribor("6M",B33)</f>
        <v>欣[test_swap.xlsx]ConstNotionalCrossCurrencyBasis!R34C2Euribor,A</v>
      </c>
      <c r="C34" s="15" t="str" cm="1">
        <f t="array" ref="C34">_xll.qlEuribor("6M",C33)</f>
        <v>欣[test_swap.xlsx]ConstNotionalCrossCurrencyBasis!R34C3Euribor,A</v>
      </c>
    </row>
    <row r="35" spans="1:3" x14ac:dyDescent="0.3">
      <c r="A35" s="12" t="s">
        <v>388</v>
      </c>
      <c r="B35" s="72">
        <v>45288</v>
      </c>
      <c r="C35" s="13">
        <v>45288</v>
      </c>
    </row>
    <row r="36" spans="1:3" x14ac:dyDescent="0.3">
      <c r="A36" s="14" t="s">
        <v>362</v>
      </c>
      <c r="B36" s="38">
        <v>0.02</v>
      </c>
      <c r="C36" s="15">
        <v>0.02</v>
      </c>
    </row>
    <row r="37" spans="1:3" x14ac:dyDescent="0.3">
      <c r="A37" s="52" t="s">
        <v>363</v>
      </c>
      <c r="B37" s="39" t="b" cm="1">
        <f t="array" ref="B37">_xll.qlIndexAddFixing(B34,B35,B36)</f>
        <v>1</v>
      </c>
      <c r="C37" s="17" t="b" cm="1">
        <f t="array" ref="C37">_xll.qlIndexAddFixing(C34,C35,C36)</f>
        <v>1</v>
      </c>
    </row>
    <row r="38" spans="1:3" x14ac:dyDescent="0.3">
      <c r="A38" s="31" t="s">
        <v>374</v>
      </c>
      <c r="B38" s="38">
        <v>0</v>
      </c>
      <c r="C38" s="15">
        <v>0</v>
      </c>
    </row>
    <row r="39" spans="1:3" x14ac:dyDescent="0.3">
      <c r="A39" s="31" t="s">
        <v>375</v>
      </c>
      <c r="B39" s="38">
        <v>1</v>
      </c>
      <c r="C39" s="15">
        <v>1</v>
      </c>
    </row>
    <row r="40" spans="1:3" x14ac:dyDescent="0.3">
      <c r="A40" s="31" t="s">
        <v>376</v>
      </c>
      <c r="B40" s="38"/>
      <c r="C40" s="15">
        <v>0</v>
      </c>
    </row>
    <row r="41" spans="1:3" x14ac:dyDescent="0.3">
      <c r="A41" s="31" t="s">
        <v>377</v>
      </c>
      <c r="B41" s="38"/>
      <c r="C41" s="15">
        <v>0</v>
      </c>
    </row>
    <row r="42" spans="1:3" x14ac:dyDescent="0.3">
      <c r="A42" s="31" t="s">
        <v>378</v>
      </c>
      <c r="B42" s="38"/>
      <c r="C42" s="15" t="b">
        <v>0</v>
      </c>
    </row>
    <row r="43" spans="1:3" x14ac:dyDescent="0.3">
      <c r="A43" s="31" t="s">
        <v>379</v>
      </c>
      <c r="B43" s="38"/>
      <c r="C43" s="15">
        <v>0</v>
      </c>
    </row>
    <row r="44" spans="1:3" x14ac:dyDescent="0.3">
      <c r="A44" s="31" t="s">
        <v>380</v>
      </c>
      <c r="B44" s="38"/>
      <c r="C44" s="15" t="b">
        <v>0</v>
      </c>
    </row>
    <row r="45" spans="1:3" x14ac:dyDescent="0.3">
      <c r="A45" s="31" t="s">
        <v>381</v>
      </c>
      <c r="B45" s="38"/>
      <c r="C45" s="15">
        <v>0</v>
      </c>
    </row>
    <row r="46" spans="1:3" x14ac:dyDescent="0.3">
      <c r="A46" s="31" t="s">
        <v>382</v>
      </c>
      <c r="B46" s="38"/>
      <c r="C46" s="15" t="s">
        <v>305</v>
      </c>
    </row>
    <row r="47" spans="1:3" x14ac:dyDescent="0.3">
      <c r="A47" s="31" t="s">
        <v>383</v>
      </c>
      <c r="B47" s="38"/>
      <c r="C47" s="15" t="b">
        <v>0</v>
      </c>
    </row>
    <row r="48" spans="1:3" x14ac:dyDescent="0.3">
      <c r="A48" s="31" t="s">
        <v>384</v>
      </c>
      <c r="B48" s="38"/>
      <c r="C48" s="15">
        <v>0</v>
      </c>
    </row>
    <row r="49" spans="1:3" x14ac:dyDescent="0.3">
      <c r="A49" s="31" t="s">
        <v>385</v>
      </c>
      <c r="B49" s="38"/>
      <c r="C49" s="15" t="b">
        <v>0</v>
      </c>
    </row>
    <row r="50" spans="1:3" x14ac:dyDescent="0.3">
      <c r="A50" s="41" t="s">
        <v>386</v>
      </c>
      <c r="B50" s="38"/>
      <c r="C50" s="15">
        <v>0</v>
      </c>
    </row>
    <row r="51" spans="1:3" x14ac:dyDescent="0.3">
      <c r="A51" s="41" t="s">
        <v>387</v>
      </c>
      <c r="B51" s="38"/>
      <c r="C51" s="15" t="s">
        <v>305</v>
      </c>
    </row>
    <row r="52" spans="1:3" x14ac:dyDescent="0.3">
      <c r="A52" s="41" t="s">
        <v>140</v>
      </c>
      <c r="B52" s="37"/>
      <c r="C52" s="16" t="b">
        <v>0</v>
      </c>
    </row>
    <row r="53" spans="1:3" x14ac:dyDescent="0.3">
      <c r="A53" s="18" t="s">
        <v>328</v>
      </c>
      <c r="B53" s="39" t="str" cm="1">
        <f t="array" ref="B53">_xll.qlConstNotionalCrossCurrencyBasisSwap(B4,B5,B14,B16,B20,B21,B22,B23,B32,B34,B35,B36,B37,B38,B39)</f>
        <v>欣[test_swap.xlsx]ConstNotionalCrossCurrencyBasis!R53C2ConstNotionalCrossCurrencyBasisSwap,A</v>
      </c>
      <c r="C53" s="17" t="str" cm="1">
        <f t="array" ref="C53">_xll.qlConstNotionalCrossCurrencyBasisSwap(C4,C5,C14,C16,C20,C21,C22,C23,C32,C34,C38,C39,C40,C41,C42,C43,C44,C45,C46,C47,C48,C49,C50,C51,C52)</f>
        <v>欣[test_swap.xlsx]ConstNotionalCrossCurrencyBasis!R53C3ConstNotionalCrossCurrencyBasisSwap,A</v>
      </c>
    </row>
    <row r="54" spans="1:3" x14ac:dyDescent="0.3">
      <c r="A54" s="28" t="s">
        <v>322</v>
      </c>
      <c r="B54" s="38" t="str" cm="1">
        <f t="array" ref="B54">_xll.qlConstNotionalCrossCurrencySwapLegCurrency(B53,1)</f>
        <v>欣[test_swap.xlsx]ConstNotionalCrossCurrencyBasis!R54C2Currency,A</v>
      </c>
      <c r="C54" s="15" t="str" cm="1">
        <f t="array" ref="C54">_xll.qlConstNotionalCrossCurrencySwapLegCurrency(C53,1)</f>
        <v>欣[test_swap.xlsx]ConstNotionalCrossCurrencyBasis!R54C3Currency,A</v>
      </c>
    </row>
    <row r="55" spans="1:3" x14ac:dyDescent="0.3">
      <c r="A55" s="40" t="s">
        <v>334</v>
      </c>
      <c r="B55" s="36" t="s">
        <v>333</v>
      </c>
      <c r="C55" s="22" t="s">
        <v>333</v>
      </c>
    </row>
    <row r="56" spans="1:3" x14ac:dyDescent="0.3">
      <c r="A56" s="41" t="s">
        <v>335</v>
      </c>
      <c r="B56" s="38" t="str" cm="1">
        <f t="array" ref="B56">_xll.qlFlatForward($B$1,0.02,"Actual365Fixed")</f>
        <v>欣[test_swap.xlsx]ConstNotionalCrossCurrencyBasis!R56C2YieldTermStructureHandle,A</v>
      </c>
      <c r="C56" s="15" t="str" cm="1">
        <f t="array" ref="C56">_xll.qlFlatForward($B$1,0.02,"Actual365Fixed")</f>
        <v>欣[test_swap.xlsx]ConstNotionalCrossCurrencyBasis!R56C3YieldTermStructureHandle,A</v>
      </c>
    </row>
    <row r="57" spans="1:3" x14ac:dyDescent="0.3">
      <c r="A57" s="41" t="s">
        <v>336</v>
      </c>
      <c r="B57" s="38" t="s">
        <v>165</v>
      </c>
      <c r="C57" s="15" t="s">
        <v>165</v>
      </c>
    </row>
    <row r="58" spans="1:3" x14ac:dyDescent="0.3">
      <c r="A58" s="41" t="s">
        <v>337</v>
      </c>
      <c r="B58" s="38" t="str" cm="1">
        <f t="array" ref="B58">_xll.qlFlatForward($B$1,0.02,"Actual365Fixed")</f>
        <v>欣[test_swap.xlsx]ConstNotionalCrossCurrencyBasis!R58C2YieldTermStructureHandle,A</v>
      </c>
      <c r="C58" s="15" t="str" cm="1">
        <f t="array" ref="C58">_xll.qlFlatForward($B$1,0.02,"Actual365Fixed")</f>
        <v>欣[test_swap.xlsx]ConstNotionalCrossCurrencyBasis!R58C3YieldTermStructureHandle,A</v>
      </c>
    </row>
    <row r="59" spans="1:3" x14ac:dyDescent="0.3">
      <c r="A59" s="41" t="s">
        <v>338</v>
      </c>
      <c r="B59" s="38">
        <v>1.1000000000000001</v>
      </c>
      <c r="C59" s="15">
        <v>1.1000000000000001</v>
      </c>
    </row>
    <row r="60" spans="1:3" x14ac:dyDescent="0.3">
      <c r="A60" s="41" t="s">
        <v>23</v>
      </c>
      <c r="B60" s="38"/>
      <c r="C60" s="15" t="b">
        <v>0</v>
      </c>
    </row>
    <row r="61" spans="1:3" x14ac:dyDescent="0.3">
      <c r="A61" s="41" t="s">
        <v>24</v>
      </c>
      <c r="B61" s="38"/>
      <c r="C61" s="16">
        <v>45665</v>
      </c>
    </row>
    <row r="62" spans="1:3" x14ac:dyDescent="0.3">
      <c r="A62" s="41" t="s">
        <v>25</v>
      </c>
      <c r="B62" s="38"/>
      <c r="C62" s="16">
        <v>45665</v>
      </c>
    </row>
    <row r="63" spans="1:3" x14ac:dyDescent="0.3">
      <c r="A63" s="41" t="s">
        <v>339</v>
      </c>
      <c r="B63" s="38"/>
      <c r="C63" s="16">
        <v>45665</v>
      </c>
    </row>
    <row r="64" spans="1:3" x14ac:dyDescent="0.3">
      <c r="A64" s="18" t="s">
        <v>331</v>
      </c>
      <c r="B64" s="39" t="str" cm="1">
        <f t="array" ref="B64">_xll.qlDiscountingConstNotionalCrossCurrencySwapEngine(B55,B56,B57,B58,B59)</f>
        <v>欣[test_swap.xlsx]ConstNotionalCrossCurrencyBasis!R64C2DiscountingConstNotionalCrossCurrencySwapEngine,A</v>
      </c>
      <c r="C64" s="17" t="str" cm="1">
        <f t="array" ref="C64">_xll.qlDiscountingConstNotionalCrossCurrencySwapEngine(C55,C56,C57,C58,C59,C60,C61,C62,C63)</f>
        <v>欣[test_swap.xlsx]ConstNotionalCrossCurrencyBasis!R64C3DiscountingConstNotionalCrossCurrencySwapEngine,A</v>
      </c>
    </row>
    <row r="65" spans="1:3" x14ac:dyDescent="0.3">
      <c r="A65" s="47" t="s">
        <v>340</v>
      </c>
      <c r="B65" s="42" t="b" cm="1">
        <f t="array" ref="B65">_xll.qlInstrumentSetPricingEngine(B53,B64)</f>
        <v>1</v>
      </c>
      <c r="C65" s="24" t="b" cm="1">
        <f t="array" ref="C65">_xll.qlInstrumentSetPricingEngine(C53,C64)</f>
        <v>1</v>
      </c>
    </row>
    <row r="66" spans="1:3" x14ac:dyDescent="0.3">
      <c r="A66" s="28" t="s">
        <v>323</v>
      </c>
      <c r="B66" s="38" cm="1">
        <f t="array" ref="B66">_xll.qlConstNotionalCrossCurrencySwapInCcyLegNPV(B53,1,B65)</f>
        <v>8018501.2355243685</v>
      </c>
      <c r="C66" s="15" cm="1">
        <f t="array" ref="C66">_xll.qlConstNotionalCrossCurrencySwapInCcyLegNPV(C53,1,C65)</f>
        <v>90.00787774071236</v>
      </c>
    </row>
    <row r="67" spans="1:3" x14ac:dyDescent="0.3">
      <c r="A67" s="23" t="s">
        <v>324</v>
      </c>
      <c r="B67" s="42" cm="1">
        <f t="array" ref="B67">_xll.qlConstNotionalCrossCurrencySwapInCcyLegBPS(B53,1,B65)</f>
        <v>1.7705384815321364E-2</v>
      </c>
      <c r="C67" s="24" cm="1">
        <f t="array" ref="C67">_xll.qlConstNotionalCrossCurrencySwapInCcyLegBPS(C53,1,C65)</f>
        <v>1.7705384815321364E-2</v>
      </c>
    </row>
    <row r="68" spans="1:3" x14ac:dyDescent="0.3">
      <c r="A68" s="28" t="s">
        <v>17</v>
      </c>
      <c r="B68" s="38">
        <f>_xll.qlSwapNumberOfLegs(B53)</f>
        <v>2</v>
      </c>
      <c r="C68" s="15">
        <f>_xll.qlSwapNumberOfLegs(C53)</f>
        <v>2</v>
      </c>
    </row>
    <row r="69" spans="1:3" x14ac:dyDescent="0.3">
      <c r="A69" s="23" t="s">
        <v>18</v>
      </c>
      <c r="B69" s="43">
        <f>_xll.qlSwapStartDate(B53)</f>
        <v>45665</v>
      </c>
      <c r="C69" s="25">
        <f>_xll.qlSwapStartDate(C53)</f>
        <v>45665</v>
      </c>
    </row>
    <row r="70" spans="1:3" x14ac:dyDescent="0.3">
      <c r="A70" s="28" t="s">
        <v>19</v>
      </c>
      <c r="B70" s="37">
        <f>_xll.qlSwapMaturityDate(B53)</f>
        <v>46392</v>
      </c>
      <c r="C70" s="16">
        <f>_xll.qlSwapMaturityDate(C53)</f>
        <v>46391</v>
      </c>
    </row>
    <row r="71" spans="1:3" x14ac:dyDescent="0.3">
      <c r="A71" s="23" t="s">
        <v>219</v>
      </c>
      <c r="B71" s="42" t="str">
        <f>_xll.qlSwapLeg(B53,1)</f>
        <v>欣[test_swap.xlsx]ConstNotionalCrossCurrencyBasis!R71C2CashFlow,A</v>
      </c>
      <c r="C71" s="24" t="str">
        <f>_xll.qlSwapLeg(C53,1)</f>
        <v>欣[test_swap.xlsx]ConstNotionalCrossCurrencyBasis!R71C3CashFlow,A</v>
      </c>
    </row>
    <row r="72" spans="1:3" x14ac:dyDescent="0.3">
      <c r="A72" s="28" t="s">
        <v>220</v>
      </c>
      <c r="B72" s="38">
        <f>_xll.qlSwapLegNPV(B53,1,B67)</f>
        <v>8820351.3590768054</v>
      </c>
      <c r="C72" s="15">
        <f>_xll.qlSwapLegNPV(C53,1,C67)</f>
        <v>99.008665514783601</v>
      </c>
    </row>
    <row r="73" spans="1:3" x14ac:dyDescent="0.3">
      <c r="A73" s="23" t="s">
        <v>221</v>
      </c>
      <c r="B73" s="42">
        <f>_xll.qlSwapLegBPS(B53,1,B67)</f>
        <v>1.9475923296853503E-2</v>
      </c>
      <c r="C73" s="24">
        <f>_xll.qlSwapLegBPS(C53,1,C67)</f>
        <v>1.9475923296853503E-2</v>
      </c>
    </row>
    <row r="74" spans="1:3" x14ac:dyDescent="0.3">
      <c r="A74" s="28" t="s">
        <v>222</v>
      </c>
      <c r="B74" s="38">
        <f>_xll.qlSwapStartDiscounts(B53,1,B67)</f>
        <v>1</v>
      </c>
      <c r="C74" s="15">
        <f>_xll.qlSwapStartDiscounts(C53,1,C67)</f>
        <v>1</v>
      </c>
    </row>
    <row r="75" spans="1:3" x14ac:dyDescent="0.3">
      <c r="A75" s="23" t="s">
        <v>223</v>
      </c>
      <c r="B75" s="42">
        <f>_xll.qlSwapEndDiscounts(B53,1,B67)</f>
        <v>0.9610000462183701</v>
      </c>
      <c r="C75" s="24">
        <f>_xll.qlSwapEndDiscounts(C53,1,C67)</f>
        <v>0.9610000462183701</v>
      </c>
    </row>
    <row r="76" spans="1:3" x14ac:dyDescent="0.3">
      <c r="A76" s="28" t="s">
        <v>20</v>
      </c>
      <c r="B76" s="38"/>
      <c r="C76" s="15"/>
    </row>
    <row r="77" spans="1:3" x14ac:dyDescent="0.3">
      <c r="A77" s="44" t="s">
        <v>218</v>
      </c>
      <c r="B77" s="42" t="b">
        <f>_xll.qlSwapPayer(B53,0)</f>
        <v>1</v>
      </c>
      <c r="C77" s="24" t="b">
        <f>_xll.qlSwapPayer(C53,0)</f>
        <v>1</v>
      </c>
    </row>
    <row r="78" spans="1:3" x14ac:dyDescent="0.3">
      <c r="A78" s="23" t="s">
        <v>329</v>
      </c>
      <c r="B78" s="42" cm="1">
        <f t="array" ref="B78">_xll.qlConstNotionalCrossCurrencyBasisSwapFairPaySpread(B53,B65)</f>
        <v>44838.060772168945</v>
      </c>
      <c r="C78" s="24" cm="1">
        <f t="array" ref="C78">_xll.qlConstNotionalCrossCurrencyBasisSwapFairPaySpread(C53,C65)</f>
        <v>-5.0836442517094241E-3</v>
      </c>
    </row>
    <row r="79" spans="1:3" x14ac:dyDescent="0.3">
      <c r="A79" s="82" t="s">
        <v>330</v>
      </c>
      <c r="B79" s="39" cm="1">
        <f t="array" ref="B79">_xll.qlConstNotionalCrossCurrencyBasisSwapFairReceiveSpread(B53,B65)</f>
        <v>-0.48783787068532547</v>
      </c>
      <c r="C79" s="39" cm="1">
        <f t="array" ref="C79">_xll.qlConstNotionalCrossCurrencyBasisSwapFairReceiveSpread(C53,C65)</f>
        <v>6.1450952037468915E-3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1E9FB-D9DF-4A00-822F-5707A869220C}">
  <dimension ref="A1:S108"/>
  <sheetViews>
    <sheetView tabSelected="1" workbookViewId="0"/>
  </sheetViews>
  <sheetFormatPr defaultRowHeight="14.4" x14ac:dyDescent="0.3"/>
  <cols>
    <col min="1" max="1" width="47.5546875" customWidth="1"/>
    <col min="2" max="2" width="77.44140625" style="11" bestFit="1" customWidth="1"/>
    <col min="3" max="3" width="77.44140625" style="11" customWidth="1"/>
  </cols>
  <sheetData>
    <row r="1" spans="1:3" x14ac:dyDescent="0.3">
      <c r="A1" s="30" t="s">
        <v>13</v>
      </c>
      <c r="B1" s="13">
        <v>45665</v>
      </c>
      <c r="C1" s="37"/>
    </row>
    <row r="2" spans="1:3" x14ac:dyDescent="0.3">
      <c r="A2" s="32" t="s">
        <v>14</v>
      </c>
      <c r="B2" s="35">
        <f>_xll.qlSettingsSetEvaluationDate(B1)</f>
        <v>45665</v>
      </c>
      <c r="C2" s="37"/>
    </row>
    <row r="3" spans="1:3" x14ac:dyDescent="0.3">
      <c r="A3" s="97"/>
      <c r="B3" s="37"/>
      <c r="C3" s="37"/>
    </row>
    <row r="4" spans="1:3" x14ac:dyDescent="0.3">
      <c r="A4" t="s">
        <v>109</v>
      </c>
      <c r="B4" s="11" t="s">
        <v>444</v>
      </c>
    </row>
    <row r="5" spans="1:3" x14ac:dyDescent="0.3">
      <c r="A5" t="s">
        <v>42</v>
      </c>
      <c r="B5" s="98" cm="1">
        <f t="array" ref="B5">_xll.qlCalendarAdvance(B4,B2,"1W","following")</f>
        <v>45672</v>
      </c>
      <c r="C5" s="98"/>
    </row>
    <row r="6" spans="1:3" x14ac:dyDescent="0.3">
      <c r="A6" t="s">
        <v>43</v>
      </c>
      <c r="B6" s="98" cm="1">
        <f t="array" ref="B6">_xll.qlCalendarAdvance(B4,B5,"2Y","following")</f>
        <v>46402</v>
      </c>
      <c r="C6" s="98"/>
    </row>
    <row r="7" spans="1:3" x14ac:dyDescent="0.3">
      <c r="A7" t="s">
        <v>443</v>
      </c>
      <c r="B7" s="11" t="str" cm="1">
        <f t="array" ref="B7">_xll.qlMakeSchedule(B5,B6,"3M",,B4,"following")</f>
        <v>欣[test_swap.xlsx]MtMCrossCurrencyBasisSwap!R7C2Schedule,A</v>
      </c>
    </row>
    <row r="9" spans="1:3" x14ac:dyDescent="0.3">
      <c r="A9" t="s">
        <v>446</v>
      </c>
      <c r="B9" s="11" t="str" cm="1">
        <f t="array" ref="B9">_xll.qlFlatForward($B$2,0.03,"Act/365")</f>
        <v>欣[test_swap.xlsx]MtMCrossCurrencyBasisSwap!R9C2YieldTermStructureHandle,A</v>
      </c>
    </row>
    <row r="10" spans="1:3" x14ac:dyDescent="0.3">
      <c r="A10" t="s">
        <v>447</v>
      </c>
      <c r="B10" s="11" t="str" cm="1">
        <f t="array" ref="B10">_xll.qlFlatForward($B$2,0.03,"Act/365")</f>
        <v>欣[test_swap.xlsx]MtMCrossCurrencyBasisSwap!R10C2YieldTermStructureHandle,A</v>
      </c>
    </row>
    <row r="15" spans="1:3" x14ac:dyDescent="0.3">
      <c r="A15" t="s">
        <v>229</v>
      </c>
      <c r="B15" s="11" t="s">
        <v>445</v>
      </c>
      <c r="C15" s="11" t="s">
        <v>445</v>
      </c>
    </row>
    <row r="16" spans="1:3" x14ac:dyDescent="0.3">
      <c r="A16" t="s">
        <v>411</v>
      </c>
      <c r="B16" s="11">
        <v>10000</v>
      </c>
      <c r="C16" s="11">
        <v>10000</v>
      </c>
    </row>
    <row r="17" spans="1:3" x14ac:dyDescent="0.3">
      <c r="A17" t="s">
        <v>412</v>
      </c>
      <c r="B17" s="11" t="s">
        <v>165</v>
      </c>
      <c r="C17" s="11" t="s">
        <v>165</v>
      </c>
    </row>
    <row r="18" spans="1:3" x14ac:dyDescent="0.3">
      <c r="A18" t="s">
        <v>413</v>
      </c>
      <c r="B18" s="11" t="str">
        <f>B7</f>
        <v>欣[test_swap.xlsx]MtMCrossCurrencyBasisSwap!R7C2Schedule,A</v>
      </c>
      <c r="C18" s="11" t="str">
        <f>B7</f>
        <v>欣[test_swap.xlsx]MtMCrossCurrencyBasisSwap!R7C2Schedule,A</v>
      </c>
    </row>
    <row r="19" spans="1:3" x14ac:dyDescent="0.3">
      <c r="A19" t="s">
        <v>414</v>
      </c>
      <c r="B19" s="11" t="str" cm="1">
        <f t="array" ref="B19">_xll.qlEuribor("3m",B9,B2)</f>
        <v>欣[test_swap.xlsx]MtMCrossCurrencyBasisSwap!R19C2Euribor,A</v>
      </c>
      <c r="C19" s="11" t="str" cm="1">
        <f t="array" ref="C19">_xll.qlEuribor("3m",B9,B2)</f>
        <v>欣[test_swap.xlsx]MtMCrossCurrencyBasisSwap!R19C3Euribor,A</v>
      </c>
    </row>
    <row r="20" spans="1:3" x14ac:dyDescent="0.3">
      <c r="A20" t="s">
        <v>415</v>
      </c>
      <c r="B20" s="96">
        <v>5.0000000000000001E-3</v>
      </c>
      <c r="C20" s="96">
        <v>5.0000000000000001E-3</v>
      </c>
    </row>
    <row r="21" spans="1:3" x14ac:dyDescent="0.3">
      <c r="A21" t="s">
        <v>416</v>
      </c>
      <c r="B21" s="11">
        <v>1</v>
      </c>
      <c r="C21" s="11">
        <v>1</v>
      </c>
    </row>
    <row r="22" spans="1:3" x14ac:dyDescent="0.3">
      <c r="A22" t="s">
        <v>417</v>
      </c>
      <c r="B22" s="11">
        <v>12000</v>
      </c>
      <c r="C22" s="11">
        <v>12000</v>
      </c>
    </row>
    <row r="23" spans="1:3" x14ac:dyDescent="0.3">
      <c r="A23" t="s">
        <v>418</v>
      </c>
      <c r="B23" s="11" t="s">
        <v>333</v>
      </c>
      <c r="C23" s="11" t="s">
        <v>333</v>
      </c>
    </row>
    <row r="24" spans="1:3" x14ac:dyDescent="0.3">
      <c r="A24" t="s">
        <v>419</v>
      </c>
      <c r="B24" s="11" t="str">
        <f>B7</f>
        <v>欣[test_swap.xlsx]MtMCrossCurrencyBasisSwap!R7C2Schedule,A</v>
      </c>
      <c r="C24" s="11" t="str">
        <f>B7</f>
        <v>欣[test_swap.xlsx]MtMCrossCurrencyBasisSwap!R7C2Schedule,A</v>
      </c>
    </row>
    <row r="25" spans="1:3" x14ac:dyDescent="0.3">
      <c r="A25" t="s">
        <v>420</v>
      </c>
      <c r="B25" s="11" t="str" cm="1">
        <f t="array" ref="B25">_xll.qlSofr(B10,B2)</f>
        <v>欣[test_swap.xlsx]MtMCrossCurrencyBasisSwap!R25C2Sofr,A</v>
      </c>
      <c r="C25" s="11" t="str" cm="1">
        <f t="array" ref="C25">_xll.qlSofr(B10,B2)</f>
        <v>欣[test_swap.xlsx]MtMCrossCurrencyBasisSwap!R25C3Sofr,A</v>
      </c>
    </row>
    <row r="26" spans="1:3" x14ac:dyDescent="0.3">
      <c r="A26" t="s">
        <v>421</v>
      </c>
      <c r="B26" s="99">
        <v>0</v>
      </c>
      <c r="C26" s="99">
        <v>0</v>
      </c>
    </row>
    <row r="27" spans="1:3" x14ac:dyDescent="0.3">
      <c r="A27" t="s">
        <v>422</v>
      </c>
      <c r="B27" s="11">
        <v>1</v>
      </c>
      <c r="C27" s="11">
        <v>1</v>
      </c>
    </row>
    <row r="28" spans="1:3" x14ac:dyDescent="0.3">
      <c r="A28" t="s">
        <v>423</v>
      </c>
      <c r="B28" s="11" t="b">
        <v>0</v>
      </c>
      <c r="C28" s="11" t="b">
        <v>0</v>
      </c>
    </row>
    <row r="29" spans="1:3" x14ac:dyDescent="0.3">
      <c r="A29" t="s">
        <v>424</v>
      </c>
      <c r="C29" s="11">
        <v>0</v>
      </c>
    </row>
    <row r="30" spans="1:3" x14ac:dyDescent="0.3">
      <c r="A30" t="s">
        <v>425</v>
      </c>
      <c r="C30" s="11" t="str">
        <f>B4</f>
        <v>WeekendsOnly</v>
      </c>
    </row>
    <row r="31" spans="1:3" x14ac:dyDescent="0.3">
      <c r="A31" t="s">
        <v>426</v>
      </c>
      <c r="C31" s="11">
        <v>0</v>
      </c>
    </row>
    <row r="32" spans="1:3" x14ac:dyDescent="0.3">
      <c r="A32" t="s">
        <v>427</v>
      </c>
      <c r="C32" s="11">
        <v>0</v>
      </c>
    </row>
    <row r="33" spans="1:3" x14ac:dyDescent="0.3">
      <c r="A33" t="s">
        <v>428</v>
      </c>
      <c r="C33" s="11" t="s">
        <v>75</v>
      </c>
    </row>
    <row r="34" spans="1:3" x14ac:dyDescent="0.3">
      <c r="A34" t="s">
        <v>429</v>
      </c>
      <c r="C34" s="11" t="s">
        <v>75</v>
      </c>
    </row>
    <row r="35" spans="1:3" x14ac:dyDescent="0.3">
      <c r="A35" t="s">
        <v>430</v>
      </c>
      <c r="C35" s="11" t="b">
        <v>0</v>
      </c>
    </row>
    <row r="36" spans="1:3" x14ac:dyDescent="0.3">
      <c r="A36" t="s">
        <v>431</v>
      </c>
      <c r="C36" s="11">
        <v>0</v>
      </c>
    </row>
    <row r="37" spans="1:3" x14ac:dyDescent="0.3">
      <c r="A37" t="s">
        <v>432</v>
      </c>
      <c r="C37" s="11">
        <v>0</v>
      </c>
    </row>
    <row r="38" spans="1:3" x14ac:dyDescent="0.3">
      <c r="A38" t="s">
        <v>433</v>
      </c>
      <c r="C38" s="11">
        <v>0</v>
      </c>
    </row>
    <row r="39" spans="1:3" x14ac:dyDescent="0.3">
      <c r="A39" t="s">
        <v>434</v>
      </c>
      <c r="C39" s="11" t="s">
        <v>449</v>
      </c>
    </row>
    <row r="40" spans="1:3" x14ac:dyDescent="0.3">
      <c r="A40" t="s">
        <v>435</v>
      </c>
      <c r="C40" s="11" t="b">
        <v>0</v>
      </c>
    </row>
    <row r="41" spans="1:3" x14ac:dyDescent="0.3">
      <c r="A41" t="s">
        <v>436</v>
      </c>
      <c r="C41" s="11">
        <v>0</v>
      </c>
    </row>
    <row r="42" spans="1:3" x14ac:dyDescent="0.3">
      <c r="A42" t="s">
        <v>437</v>
      </c>
      <c r="C42" s="11">
        <v>0</v>
      </c>
    </row>
    <row r="43" spans="1:3" x14ac:dyDescent="0.3">
      <c r="A43" t="s">
        <v>438</v>
      </c>
      <c r="C43" s="11">
        <v>0</v>
      </c>
    </row>
    <row r="44" spans="1:3" x14ac:dyDescent="0.3">
      <c r="A44" t="s">
        <v>439</v>
      </c>
      <c r="C44" s="11" t="s">
        <v>305</v>
      </c>
    </row>
    <row r="45" spans="1:3" x14ac:dyDescent="0.3">
      <c r="A45" t="s">
        <v>140</v>
      </c>
      <c r="C45" s="11" t="b">
        <v>0</v>
      </c>
    </row>
    <row r="46" spans="1:3" x14ac:dyDescent="0.3">
      <c r="A46" t="s">
        <v>440</v>
      </c>
      <c r="C46" s="11" t="b">
        <v>0</v>
      </c>
    </row>
    <row r="47" spans="1:3" x14ac:dyDescent="0.3">
      <c r="A47" t="s">
        <v>441</v>
      </c>
      <c r="C47" s="11" t="str" cm="1">
        <f t="array" ref="C47">_xll.qlStubIndexSelection(,,B2)</f>
        <v>欣[test_swap.xlsx]MtMCrossCurrencyBasisSwap!R47C3StubIndexSelection,A</v>
      </c>
    </row>
    <row r="48" spans="1:3" x14ac:dyDescent="0.3">
      <c r="A48" t="s">
        <v>442</v>
      </c>
      <c r="C48" s="11" t="str" cm="1">
        <f t="array" ref="C48">_xll.qlStubIndexSelection(,,B2)</f>
        <v>欣[test_swap.xlsx]MtMCrossCurrencyBasisSwap!R48C3StubIndexSelection,A</v>
      </c>
    </row>
    <row r="49" spans="1:3" x14ac:dyDescent="0.3">
      <c r="A49" s="82" t="s">
        <v>448</v>
      </c>
      <c r="B49" s="11" t="str" cm="1">
        <f t="array" ref="B49">_xll.qlMtMCrossCurrencyBasisSwap(B15,B16,B17,B18,B19,B20,B21,B22,B23,B24,B25,B26,B27,B28)</f>
        <v>欣[test_swap.xlsx]MtMCrossCurrencyBasisSwap!R49C2MtMCrossCurrencyBasisSwap,A</v>
      </c>
      <c r="C49" s="11" t="str" cm="1">
        <f t="array" ref="C49">_xll.qlMtMCrossCurrencyBasisSwap(C15,C16,C17,C18,C19,C20,C21,C22,C23,C24,C25,C26,C27,C28,C29,C30,C31,C32,C33,C34,C35,C36,C37,C38,C39,C40,C41,C42,C43,C44,C45,C46,C47,C48)</f>
        <v>欣[test_swap.xlsx]MtMCrossCurrencyBasisSwap!R49C3MtMCrossCurrencyBasisSwap,A</v>
      </c>
    </row>
    <row r="51" spans="1:3" x14ac:dyDescent="0.3">
      <c r="A51" s="11" t="s">
        <v>334</v>
      </c>
      <c r="B51" s="11" t="s">
        <v>165</v>
      </c>
      <c r="C51" s="11" t="s">
        <v>165</v>
      </c>
    </row>
    <row r="52" spans="1:3" x14ac:dyDescent="0.3">
      <c r="A52" s="11" t="s">
        <v>335</v>
      </c>
      <c r="B52" s="11" t="str">
        <f>B9</f>
        <v>欣[test_swap.xlsx]MtMCrossCurrencyBasisSwap!R9C2YieldTermStructureHandle,A</v>
      </c>
      <c r="C52" s="11" t="str">
        <f>B9</f>
        <v>欣[test_swap.xlsx]MtMCrossCurrencyBasisSwap!R9C2YieldTermStructureHandle,A</v>
      </c>
    </row>
    <row r="53" spans="1:3" x14ac:dyDescent="0.3">
      <c r="A53" s="11" t="s">
        <v>336</v>
      </c>
      <c r="B53" s="11" t="s">
        <v>333</v>
      </c>
      <c r="C53" s="11" t="s">
        <v>333</v>
      </c>
    </row>
    <row r="54" spans="1:3" x14ac:dyDescent="0.3">
      <c r="A54" s="11" t="s">
        <v>337</v>
      </c>
      <c r="B54" s="11" t="str">
        <f>B10</f>
        <v>欣[test_swap.xlsx]MtMCrossCurrencyBasisSwap!R10C2YieldTermStructureHandle,A</v>
      </c>
      <c r="C54" s="11" t="str">
        <f>B10</f>
        <v>欣[test_swap.xlsx]MtMCrossCurrencyBasisSwap!R10C2YieldTermStructureHandle,A</v>
      </c>
    </row>
    <row r="55" spans="1:3" x14ac:dyDescent="0.3">
      <c r="A55" s="11" t="s">
        <v>338</v>
      </c>
      <c r="B55" s="11">
        <v>0.8</v>
      </c>
      <c r="C55" s="11">
        <v>0.8</v>
      </c>
    </row>
    <row r="56" spans="1:3" x14ac:dyDescent="0.3">
      <c r="A56" s="11" t="s">
        <v>23</v>
      </c>
      <c r="C56" s="11" t="b">
        <v>0</v>
      </c>
    </row>
    <row r="57" spans="1:3" x14ac:dyDescent="0.3">
      <c r="A57" s="11" t="s">
        <v>24</v>
      </c>
      <c r="C57" s="98">
        <f>B5</f>
        <v>45672</v>
      </c>
    </row>
    <row r="58" spans="1:3" x14ac:dyDescent="0.3">
      <c r="A58" s="11" t="s">
        <v>25</v>
      </c>
      <c r="C58" s="98">
        <f>B2</f>
        <v>45665</v>
      </c>
    </row>
    <row r="59" spans="1:3" x14ac:dyDescent="0.3">
      <c r="A59" s="11" t="s">
        <v>339</v>
      </c>
      <c r="C59" s="98">
        <f>C58</f>
        <v>45665</v>
      </c>
    </row>
    <row r="60" spans="1:3" x14ac:dyDescent="0.3">
      <c r="A60" s="100" t="s">
        <v>450</v>
      </c>
      <c r="B60" s="11" t="str" cm="1">
        <f t="array" ref="B60">_xll.qlDiscountingMtMCrossCurrencyBasisSwapEngine(B51,B52,B53,B54,B55)</f>
        <v>欣[test_swap.xlsx]MtMCrossCurrencyBasisSwap!R60C2DiscountingMtMCrossCurrencyBasisSwapEngine,A</v>
      </c>
      <c r="C60" s="11" t="str" cm="1">
        <f t="array" ref="C60">_xll.qlDiscountingMtMCrossCurrencyBasisSwapEngine(C51,C52,C53,C54,C55,C56,C57,C58,C59)</f>
        <v>欣[test_swap.xlsx]MtMCrossCurrencyBasisSwap!R60C3DiscountingMtMCrossCurrencyBasisSwapEngine,A</v>
      </c>
    </row>
    <row r="61" spans="1:3" x14ac:dyDescent="0.3">
      <c r="A61" s="82" t="s">
        <v>451</v>
      </c>
      <c r="B61" s="101" cm="1">
        <f t="array" ref="B61">_xll.qlInstrumentNPV(B49,_xll.qlInstrumentSetPricingEngine(B49,B60))</f>
        <v>-97.982194856620481</v>
      </c>
      <c r="C61" s="101" cm="1">
        <f t="array" ref="C61">_xll.qlInstrumentNPV(C49,_xll.qlInstrumentSetPricingEngine(C49,C60))</f>
        <v>-97.982194856616843</v>
      </c>
    </row>
    <row r="63" spans="1:3" x14ac:dyDescent="0.3">
      <c r="A63" t="s">
        <v>452</v>
      </c>
      <c r="B63" s="11" t="b" cm="1">
        <f t="array" ref="B63">_xll.qlMtMCrossCurrencyBasisSwapPaysFxBaseCurrency(B49)</f>
        <v>1</v>
      </c>
    </row>
    <row r="64" spans="1:3" x14ac:dyDescent="0.3">
      <c r="A64" t="s">
        <v>453</v>
      </c>
      <c r="B64" s="11" cm="1">
        <f t="array" ref="B64">_xll.qlMtMCrossCurrencyBasisSwapFxBaseNominal(B49)</f>
        <v>10000</v>
      </c>
    </row>
    <row r="65" spans="1:2" x14ac:dyDescent="0.3">
      <c r="A65" t="s">
        <v>454</v>
      </c>
      <c r="B65" s="11" t="str" cm="1">
        <f t="array" ref="B65">_xll.qlMtMCrossCurrencyBasisSwapFxBaseCurrency(B49)</f>
        <v>欣[test_swap.xlsx]MtMCrossCurrencyBasisSwap!R65C2Currency,A</v>
      </c>
    </row>
    <row r="66" spans="1:2" x14ac:dyDescent="0.3">
      <c r="A66" t="s">
        <v>455</v>
      </c>
      <c r="B66" s="11" t="str" cm="1">
        <f t="array" ref="B66">_xll.qlMtMCrossCurrencyBasisSwapFxBaseSchedule(B49)</f>
        <v>欣[test_swap.xlsx]MtMCrossCurrencyBasisSwap!R66C2Schedule,A</v>
      </c>
    </row>
    <row r="67" spans="1:2" x14ac:dyDescent="0.3">
      <c r="A67" t="s">
        <v>456</v>
      </c>
      <c r="B67" s="11" t="str" cm="1">
        <f t="array" ref="B67">_xll.qlMtMCrossCurrencyBasisSwapFxBaseIndex(B49)</f>
        <v>欣[test_swap.xlsx]MtMCrossCurrencyBasisSwap!R67C2IborIndex,A</v>
      </c>
    </row>
    <row r="68" spans="1:2" x14ac:dyDescent="0.3">
      <c r="A68" t="s">
        <v>457</v>
      </c>
      <c r="B68" s="11" cm="1">
        <f t="array" ref="B68">_xll.qlMtMCrossCurrencyBasisSwapFxBaseSpread(B49)</f>
        <v>5.0000000000000001E-3</v>
      </c>
    </row>
    <row r="69" spans="1:2" x14ac:dyDescent="0.3">
      <c r="A69" t="s">
        <v>458</v>
      </c>
      <c r="B69" s="11" cm="1">
        <f t="array" ref="B69">_xll.qlMtMCrossCurrencyBasisSwapFxBaseGearing(B49)</f>
        <v>1</v>
      </c>
    </row>
    <row r="70" spans="1:2" x14ac:dyDescent="0.3">
      <c r="A70" t="s">
        <v>459</v>
      </c>
      <c r="B70" s="11" t="str" cm="1">
        <f t="array" ref="B70">_xll.qlMtMCrossCurrencyBasisSwapFxBaseStubIndexSelection(B49)</f>
        <v>欣[test_swap.xlsx]MtMCrossCurrencyBasisSwap!R70C2StubIndexSelection,A</v>
      </c>
    </row>
    <row r="71" spans="1:2" x14ac:dyDescent="0.3">
      <c r="A71" t="s">
        <v>460</v>
      </c>
      <c r="B71" s="11" t="str" cm="1">
        <f t="array" ref="B71">_xll.qlMtMCrossCurrencyBasisSwapFxQuoteStubIndexSelection(B49)</f>
        <v>欣[test_swap.xlsx]MtMCrossCurrencyBasisSwap!R71C2StubIndexSelection,A</v>
      </c>
    </row>
    <row r="72" spans="1:2" x14ac:dyDescent="0.3">
      <c r="A72" t="s">
        <v>461</v>
      </c>
      <c r="B72" s="11" cm="1">
        <f t="array" ref="B72">_xll.qlMtMCrossCurrencyBasisSwapFxQuoteNominal(B49)</f>
        <v>12000</v>
      </c>
    </row>
    <row r="73" spans="1:2" x14ac:dyDescent="0.3">
      <c r="A73" t="s">
        <v>462</v>
      </c>
      <c r="B73" s="11" t="str" cm="1">
        <f t="array" ref="B73">_xll.qlMtMCrossCurrencyBasisSwapFxQuoteCurrency(B49)</f>
        <v>欣[test_swap.xlsx]MtMCrossCurrencyBasisSwap!R73C2Currency,A</v>
      </c>
    </row>
    <row r="74" spans="1:2" x14ac:dyDescent="0.3">
      <c r="A74" t="s">
        <v>463</v>
      </c>
      <c r="B74" s="11" t="str" cm="1">
        <f t="array" ref="B74">_xll.qlMtMCrossCurrencyBasisSwapFxQuoteSchedule(B49)</f>
        <v>欣[test_swap.xlsx]MtMCrossCurrencyBasisSwap!R74C2Schedule,A</v>
      </c>
    </row>
    <row r="75" spans="1:2" x14ac:dyDescent="0.3">
      <c r="A75" t="s">
        <v>464</v>
      </c>
      <c r="B75" s="11" t="str" cm="1">
        <f t="array" ref="B75">_xll.qlMtMCrossCurrencyBasisSwapFxQuoteIndex(B49)</f>
        <v>欣[test_swap.xlsx]MtMCrossCurrencyBasisSwap!R75C2IborIndex,A</v>
      </c>
    </row>
    <row r="76" spans="1:2" x14ac:dyDescent="0.3">
      <c r="A76" t="s">
        <v>465</v>
      </c>
      <c r="B76" s="11" cm="1">
        <f t="array" ref="B76">_xll.qlMtMCrossCurrencyBasisSwapFxQuoteSpread(B49)</f>
        <v>0</v>
      </c>
    </row>
    <row r="77" spans="1:2" x14ac:dyDescent="0.3">
      <c r="A77" t="s">
        <v>466</v>
      </c>
      <c r="B77" s="11" cm="1">
        <f t="array" ref="B77">_xll.qlMtMCrossCurrencyBasisSwapFxQuoteGearing(B49)</f>
        <v>1</v>
      </c>
    </row>
    <row r="78" spans="1:2" x14ac:dyDescent="0.3">
      <c r="A78" t="s">
        <v>467</v>
      </c>
      <c r="B78" s="11" cm="1">
        <f t="array" ref="B78">_xll.qlMtMCrossCurrencyBasisSwapPayNominal(B49)</f>
        <v>10000</v>
      </c>
    </row>
    <row r="79" spans="1:2" x14ac:dyDescent="0.3">
      <c r="A79" t="s">
        <v>468</v>
      </c>
      <c r="B79" s="11" t="str" cm="1">
        <f t="array" ref="B79">_xll.qlMtMCrossCurrencyBasisSwapPayCurrency(B49)</f>
        <v>欣[test_swap.xlsx]MtMCrossCurrencyBasisSwap!R79C2Currency,A</v>
      </c>
    </row>
    <row r="80" spans="1:2" x14ac:dyDescent="0.3">
      <c r="A80" t="s">
        <v>469</v>
      </c>
      <c r="B80" s="11" t="str" cm="1">
        <f t="array" ref="B80">_xll.qlMtMCrossCurrencyBasisSwapPaySchedule(B49)</f>
        <v>欣[test_swap.xlsx]MtMCrossCurrencyBasisSwap!R80C2Schedule,A</v>
      </c>
    </row>
    <row r="81" spans="1:19" x14ac:dyDescent="0.3">
      <c r="A81" t="s">
        <v>470</v>
      </c>
      <c r="B81" s="11" t="str" cm="1">
        <f t="array" ref="B81">_xll.qlMtMCrossCurrencyBasisSwapPayIndex(B49)</f>
        <v>欣[test_swap.xlsx]MtMCrossCurrencyBasisSwap!R81C2IborIndex,A</v>
      </c>
    </row>
    <row r="82" spans="1:19" x14ac:dyDescent="0.3">
      <c r="A82" t="s">
        <v>471</v>
      </c>
      <c r="B82" s="11" cm="1">
        <f t="array" ref="B82">_xll.qlMtMCrossCurrencyBasisSwapPaySpread(B49)</f>
        <v>5.0000000000000001E-3</v>
      </c>
    </row>
    <row r="83" spans="1:19" x14ac:dyDescent="0.3">
      <c r="A83" t="s">
        <v>472</v>
      </c>
      <c r="B83" s="11" cm="1">
        <f t="array" ref="B83">_xll.qlMtMCrossCurrencyBasisSwapPayGearing(B49)</f>
        <v>1</v>
      </c>
    </row>
    <row r="84" spans="1:19" x14ac:dyDescent="0.3">
      <c r="A84" t="s">
        <v>473</v>
      </c>
      <c r="B84" s="11" cm="1">
        <f t="array" ref="B84">_xll.qlMtMCrossCurrencyBasisSwapRecNominal(B49)</f>
        <v>12000</v>
      </c>
    </row>
    <row r="85" spans="1:19" x14ac:dyDescent="0.3">
      <c r="A85" t="s">
        <v>474</v>
      </c>
      <c r="B85" s="11" t="str" cm="1">
        <f t="array" ref="B85">_xll.qlMtMCrossCurrencyBasisSwapRecCurrency(B49)</f>
        <v>欣[test_swap.xlsx]MtMCrossCurrencyBasisSwap!R85C2Currency,A</v>
      </c>
    </row>
    <row r="86" spans="1:19" x14ac:dyDescent="0.3">
      <c r="A86" t="s">
        <v>475</v>
      </c>
      <c r="B86" s="11" t="str" cm="1">
        <f t="array" ref="B86">_xll.qlMtMCrossCurrencyBasisSwapRecSchedule(B49)</f>
        <v>欣[test_swap.xlsx]MtMCrossCurrencyBasisSwap!R86C2Schedule,A</v>
      </c>
    </row>
    <row r="87" spans="1:19" x14ac:dyDescent="0.3">
      <c r="A87" t="s">
        <v>476</v>
      </c>
      <c r="B87" s="11" t="str" cm="1">
        <f t="array" ref="B87">_xll.qlMtMCrossCurrencyBasisSwapRecIndex(B49)</f>
        <v>欣[test_swap.xlsx]MtMCrossCurrencyBasisSwap!R87C2IborIndex,A</v>
      </c>
    </row>
    <row r="88" spans="1:19" x14ac:dyDescent="0.3">
      <c r="A88" t="s">
        <v>477</v>
      </c>
      <c r="B88" s="11" cm="1">
        <f t="array" ref="B88">_xll.qlMtMCrossCurrencyBasisSwapRecSpread(B49)</f>
        <v>0</v>
      </c>
    </row>
    <row r="89" spans="1:19" x14ac:dyDescent="0.3">
      <c r="A89" t="s">
        <v>478</v>
      </c>
      <c r="B89" s="11" cm="1">
        <f t="array" ref="B89">_xll.qlMtMCrossCurrencyBasisSwapRecGearing(B49)</f>
        <v>1</v>
      </c>
    </row>
    <row r="91" spans="1:19" x14ac:dyDescent="0.3">
      <c r="A91" t="s">
        <v>479</v>
      </c>
      <c r="B91" s="11" t="b" cm="1">
        <f t="array" ref="B91">_xll.qlMtMCrossCurrencyBasisSwapIsFxBaseCurrencyLegResettable(B49)</f>
        <v>0</v>
      </c>
      <c r="C91" s="11" t="b" cm="1">
        <f t="array" ref="C91">_xll.qlMtMCrossCurrencyBasisSwapIsFxBaseCurrencyLegResettable(C49)</f>
        <v>0</v>
      </c>
    </row>
    <row r="92" spans="1:19" x14ac:dyDescent="0.3">
      <c r="A92" t="s">
        <v>480</v>
      </c>
      <c r="B92" s="11" cm="1">
        <f t="array" ref="B92">_xll.qlMtMCrossCurrencyBasisSwapResettingLegIndex(B49)</f>
        <v>1</v>
      </c>
      <c r="C92" s="11" cm="1">
        <f t="array" ref="C92">_xll.qlMtMCrossCurrencyBasisSwapResettingLegIndex(C49)</f>
        <v>1</v>
      </c>
    </row>
    <row r="93" spans="1:19" x14ac:dyDescent="0.3">
      <c r="A93" t="s">
        <v>481</v>
      </c>
      <c r="B93" s="11" cm="1">
        <f t="array" ref="B93">_xll.qlMtMCrossCurrencyBasisSwapConstantLegIndex(B49)</f>
        <v>0</v>
      </c>
      <c r="C93" s="11" cm="1">
        <f t="array" ref="C93">_xll.qlMtMCrossCurrencyBasisSwapConstantLegIndex(C49)</f>
        <v>0</v>
      </c>
    </row>
    <row r="94" spans="1:19" x14ac:dyDescent="0.3">
      <c r="A94" t="s">
        <v>482</v>
      </c>
      <c r="C94" s="11" t="str" cm="1">
        <f t="array" ref="C94:S94">TRANSPOSE(_xll.qlMtMCrossCurrencyBasisSwapResettingLeg(C49))</f>
        <v>欣[test_swap.xlsx]MtMCrossCurrencyBasisSwap!R94C3CashFlow,A</v>
      </c>
      <c r="D94" t="str">
        <v>欣[test_swap.xlsx]MtMCrossCurrencyBasisSwap!R94C3CashFlow,B</v>
      </c>
      <c r="E94" t="str">
        <v>欣[test_swap.xlsx]MtMCrossCurrencyBasisSwap!R94C3CashFlow,C</v>
      </c>
      <c r="F94" t="str">
        <v>欣[test_swap.xlsx]MtMCrossCurrencyBasisSwap!R94C3CashFlow,D</v>
      </c>
      <c r="G94" t="str">
        <v>欣[test_swap.xlsx]MtMCrossCurrencyBasisSwap!R94C3CashFlow,E</v>
      </c>
      <c r="H94" t="str">
        <v>欣[test_swap.xlsx]MtMCrossCurrencyBasisSwap!R94C3CashFlow,F</v>
      </c>
      <c r="I94" t="str">
        <v>欣[test_swap.xlsx]MtMCrossCurrencyBasisSwap!R94C3CashFlow,G</v>
      </c>
      <c r="J94" t="str">
        <v>欣[test_swap.xlsx]MtMCrossCurrencyBasisSwap!R94C3CashFlow,H</v>
      </c>
      <c r="K94" t="str">
        <v>欣[test_swap.xlsx]MtMCrossCurrencyBasisSwap!R94C3CashFlow,I</v>
      </c>
      <c r="L94" t="str">
        <v>欣[test_swap.xlsx]MtMCrossCurrencyBasisSwap!R94C3CashFlow,J</v>
      </c>
      <c r="M94" t="str">
        <v>欣[test_swap.xlsx]MtMCrossCurrencyBasisSwap!R94C3CashFlow,K</v>
      </c>
      <c r="N94" t="str">
        <v>欣[test_swap.xlsx]MtMCrossCurrencyBasisSwap!R94C3CashFlow,L</v>
      </c>
      <c r="O94" t="str">
        <v>欣[test_swap.xlsx]MtMCrossCurrencyBasisSwap!R94C3CashFlow,M</v>
      </c>
      <c r="P94" t="str">
        <v>欣[test_swap.xlsx]MtMCrossCurrencyBasisSwap!R94C3CashFlow,N</v>
      </c>
      <c r="Q94" t="str">
        <v>欣[test_swap.xlsx]MtMCrossCurrencyBasisSwap!R94C3CashFlow,O</v>
      </c>
      <c r="R94" t="str">
        <v>欣[test_swap.xlsx]MtMCrossCurrencyBasisSwap!R94C3CashFlow,P</v>
      </c>
      <c r="S94" t="str">
        <v>欣[test_swap.xlsx]MtMCrossCurrencyBasisSwap!R94C3CashFlow,Q</v>
      </c>
    </row>
    <row r="95" spans="1:19" x14ac:dyDescent="0.3">
      <c r="A95" t="s">
        <v>483</v>
      </c>
      <c r="C95" s="11" t="str" cm="1">
        <f t="array" ref="C95:L95">TRANSPOSE(_xll.qlMtMCrossCurrencyBasisSwapConstantLeg(C49))</f>
        <v>欣[test_swap.xlsx]MtMCrossCurrencyBasisSwap!R95C3CashFlow,A</v>
      </c>
      <c r="D95" t="str">
        <v>欣[test_swap.xlsx]MtMCrossCurrencyBasisSwap!R95C3CashFlow,B</v>
      </c>
      <c r="E95" t="str">
        <v>欣[test_swap.xlsx]MtMCrossCurrencyBasisSwap!R95C3CashFlow,C</v>
      </c>
      <c r="F95" t="str">
        <v>欣[test_swap.xlsx]MtMCrossCurrencyBasisSwap!R95C3CashFlow,D</v>
      </c>
      <c r="G95" t="str">
        <v>欣[test_swap.xlsx]MtMCrossCurrencyBasisSwap!R95C3CashFlow,E</v>
      </c>
      <c r="H95" t="str">
        <v>欣[test_swap.xlsx]MtMCrossCurrencyBasisSwap!R95C3CashFlow,F</v>
      </c>
      <c r="I95" t="str">
        <v>欣[test_swap.xlsx]MtMCrossCurrencyBasisSwap!R95C3CashFlow,G</v>
      </c>
      <c r="J95" t="str">
        <v>欣[test_swap.xlsx]MtMCrossCurrencyBasisSwap!R95C3CashFlow,H</v>
      </c>
      <c r="K95" t="str">
        <v>欣[test_swap.xlsx]MtMCrossCurrencyBasisSwap!R95C3CashFlow,I</v>
      </c>
      <c r="L95" t="str">
        <v>欣[test_swap.xlsx]MtMCrossCurrencyBasisSwap!R95C3CashFlow,J</v>
      </c>
    </row>
    <row r="96" spans="1:19" x14ac:dyDescent="0.3">
      <c r="A96" t="s">
        <v>484</v>
      </c>
      <c r="B96" s="11" t="str" cm="1">
        <f t="array" ref="B96">_xll.qlMtMCrossCurrencyBasisSwapLegCurrency(B49,1)</f>
        <v>欣[test_swap.xlsx]MtMCrossCurrencyBasisSwap!R96C2Currency,A</v>
      </c>
      <c r="C96" s="11" t="str" cm="1">
        <f t="array" ref="C96">_xll.qlMtMCrossCurrencyBasisSwapLegCurrency(C49,1)</f>
        <v>欣[test_swap.xlsx]MtMCrossCurrencyBasisSwap!R96C3Currency,A</v>
      </c>
    </row>
    <row r="97" spans="1:10" x14ac:dyDescent="0.3">
      <c r="A97" t="s">
        <v>485</v>
      </c>
      <c r="B97" s="101" cm="1">
        <f t="array" ref="B97">_xll.qlMtMCrossCurrencyBasisSwapInCcyLegNPV(B49,0,B61)</f>
        <v>-97.982194856620481</v>
      </c>
      <c r="C97" s="101" cm="1">
        <f t="array" ref="C97">_xll.qlMtMCrossCurrencyBasisSwapInCcyLegNPV(C49,0,C61)</f>
        <v>-10092.230424976478</v>
      </c>
    </row>
    <row r="98" spans="1:10" x14ac:dyDescent="0.3">
      <c r="A98" t="s">
        <v>486</v>
      </c>
      <c r="B98" s="11" cm="1">
        <f t="array" ref="B98">_xll.qlMtMCrossCurrencyBasisSwapConstantLegNotional(B49)</f>
        <v>10000</v>
      </c>
      <c r="C98" s="11" cm="1">
        <f t="array" ref="C98">_xll.qlMtMCrossCurrencyBasisSwapConstantLegNotional(C49)</f>
        <v>10000</v>
      </c>
    </row>
    <row r="99" spans="1:10" x14ac:dyDescent="0.3">
      <c r="A99" t="s">
        <v>487</v>
      </c>
      <c r="B99" s="11" cm="1">
        <f t="array" ref="B99">_xll.qlMtMCrossCurrencyBasisSwapFxResetFixingDays(B49)</f>
        <v>0</v>
      </c>
      <c r="C99" s="11" cm="1">
        <f t="array" ref="C99">_xll.qlMtMCrossCurrencyBasisSwapFxResetFixingDays(C49)</f>
        <v>0</v>
      </c>
    </row>
    <row r="100" spans="1:10" x14ac:dyDescent="0.3">
      <c r="A100" t="s">
        <v>488</v>
      </c>
      <c r="C100" s="11" t="str" cm="1">
        <f t="array" ref="C100">_xll.qlMtMCrossCurrencyBasisSwapFxResetFixingCalendar(C49)</f>
        <v>weekends only</v>
      </c>
    </row>
    <row r="101" spans="1:10" x14ac:dyDescent="0.3">
      <c r="A101" t="s">
        <v>489</v>
      </c>
      <c r="B101" s="11" t="str" cm="1">
        <f t="array" ref="B101">_xll.qlMtMCrossCurrencyBasisSwapFxBasePaymentConvention(B49)</f>
        <v>FOLLOWING</v>
      </c>
      <c r="C101" s="11" t="str" cm="1">
        <f t="array" ref="C101">_xll.qlMtMCrossCurrencyBasisSwapFxBasePaymentConvention(C49)</f>
        <v>FOLLOWING</v>
      </c>
    </row>
    <row r="102" spans="1:10" x14ac:dyDescent="0.3">
      <c r="A102" t="s">
        <v>490</v>
      </c>
      <c r="B102" s="11" t="str" cm="1">
        <f t="array" ref="B102">_xll.qlMtMCrossCurrencyBasisSwapFxQuotePaymentConvention(B49)</f>
        <v>FOLLOWING</v>
      </c>
      <c r="C102" s="11" t="str" cm="1">
        <f t="array" ref="C102">_xll.qlMtMCrossCurrencyBasisSwapFxQuotePaymentConvention(C49)</f>
        <v>FOLLOWING</v>
      </c>
    </row>
    <row r="103" spans="1:10" x14ac:dyDescent="0.3">
      <c r="A103" t="s">
        <v>491</v>
      </c>
      <c r="C103" s="11" cm="1">
        <f t="array" ref="C103:J103">TRANSPOSE(_xll.qlMtMCrossCurrencyBasisSwapFxResetRates(C49,C61))</f>
        <v>1.25</v>
      </c>
      <c r="D103">
        <v>1.25</v>
      </c>
      <c r="E103">
        <v>1.2499999999999998</v>
      </c>
      <c r="F103">
        <v>1.25</v>
      </c>
      <c r="G103">
        <v>1.25</v>
      </c>
      <c r="H103">
        <v>1.25</v>
      </c>
      <c r="I103">
        <v>1.2500000000000002</v>
      </c>
      <c r="J103">
        <v>1.2500000000000002</v>
      </c>
    </row>
    <row r="104" spans="1:10" x14ac:dyDescent="0.3">
      <c r="A104" t="s">
        <v>492</v>
      </c>
      <c r="C104" s="11" cm="1">
        <f t="array" ref="C104:J104">TRANSPOSE(_xll.qlMtMCrossCurrencyBasisSwapFxResetNotionals(C49,C61))</f>
        <v>12500</v>
      </c>
      <c r="D104">
        <v>12500</v>
      </c>
      <c r="E104">
        <v>12499.999999999998</v>
      </c>
      <c r="F104">
        <v>12500</v>
      </c>
      <c r="G104">
        <v>12500</v>
      </c>
      <c r="H104">
        <v>12500</v>
      </c>
      <c r="I104">
        <v>12500.000000000002</v>
      </c>
      <c r="J104">
        <v>12500.000000000002</v>
      </c>
    </row>
    <row r="105" spans="1:10" x14ac:dyDescent="0.3">
      <c r="A105" t="s">
        <v>493</v>
      </c>
      <c r="B105" s="102" cm="1">
        <f t="array" ref="B105">_xll.qlMtMCrossCurrencyBasisSwapFairFxBaseSpread(B49,B61)</f>
        <v>-1.5265566588595902E-16</v>
      </c>
      <c r="C105" s="102" cm="1">
        <f t="array" ref="C105">_xll.qlMtMCrossCurrencyBasisSwapFairFxBaseSpread(C49,C61)</f>
        <v>3.2959746043559335E-17</v>
      </c>
    </row>
    <row r="106" spans="1:10" x14ac:dyDescent="0.3">
      <c r="A106" t="s">
        <v>494</v>
      </c>
      <c r="B106" s="102" cm="1">
        <f t="array" ref="B106">_xll.qlMtMCrossCurrencyBasisSwapFairFxQuoteSpread(B49,B61)</f>
        <v>5.0000000000001528E-3</v>
      </c>
      <c r="C106" s="102" cm="1">
        <f t="array" ref="C106">_xll.qlMtMCrossCurrencyBasisSwapFairFxQuoteSpread(C49,C61)</f>
        <v>4.9999999999999671E-3</v>
      </c>
    </row>
    <row r="107" spans="1:10" x14ac:dyDescent="0.3">
      <c r="A107" t="s">
        <v>495</v>
      </c>
      <c r="B107" s="102" cm="1">
        <f t="array" ref="B107">_xll.qlMtMCrossCurrencyBasisSwapFairPaySpread(B49,B61)</f>
        <v>-1.5265566588595902E-16</v>
      </c>
      <c r="C107" s="102" cm="1">
        <f t="array" ref="C107">_xll.qlMtMCrossCurrencyBasisSwapFairPaySpread(C49,C61)</f>
        <v>3.2959746043559335E-17</v>
      </c>
    </row>
    <row r="108" spans="1:10" x14ac:dyDescent="0.3">
      <c r="A108" t="s">
        <v>496</v>
      </c>
      <c r="B108" s="102" cm="1">
        <f t="array" ref="B108">_xll.qlMtMCrossCurrencyBasisSwapFairRecSpread(B49,B61)</f>
        <v>5.0000000000001528E-3</v>
      </c>
      <c r="C108" s="102" cm="1">
        <f t="array" ref="C108">_xll.qlMtMCrossCurrencyBasisSwapFairRecSpread(C49,C61)</f>
        <v>4.9999999999999671E-3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Tabs</vt:lpstr>
      <vt:lpstr>Swap</vt:lpstr>
      <vt:lpstr>VanillaSwap</vt:lpstr>
      <vt:lpstr>MakeVanillaSwap</vt:lpstr>
      <vt:lpstr>NonStandardSwap</vt:lpstr>
      <vt:lpstr>AssetSwap</vt:lpstr>
      <vt:lpstr>FloatFloatSwap</vt:lpstr>
      <vt:lpstr>OvernightIndexedSwap</vt:lpstr>
      <vt:lpstr>MakeOIS</vt:lpstr>
      <vt:lpstr>MultipleResetsSwap</vt:lpstr>
      <vt:lpstr>MakeMultipleResetsSwap</vt:lpstr>
      <vt:lpstr>OvernightIndexedSwapIndex</vt:lpstr>
      <vt:lpstr>ZeroCouponSwap</vt:lpstr>
      <vt:lpstr>BMASwap</vt:lpstr>
      <vt:lpstr>EquityTotalReturnSwap</vt:lpstr>
      <vt:lpstr>ConstNotionalCrossCurrencySwap</vt:lpstr>
      <vt:lpstr>ConstNotionalCrossCurrencySwapN</vt:lpstr>
      <vt:lpstr>ConstNotionalCrossCurrencyFixVs</vt:lpstr>
      <vt:lpstr>ConstNotionalCrossCurrencyBasis</vt:lpstr>
      <vt:lpstr>MtMCrossCurrencyBasisSwap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Kerstin Steinberg</dc:creator>
  <cp:lastModifiedBy>Sebastian Schlenkrich</cp:lastModifiedBy>
  <dcterms:created xsi:type="dcterms:W3CDTF">2026-06-17T11:36:08Z</dcterms:created>
  <dcterms:modified xsi:type="dcterms:W3CDTF">2026-10-30T08:05:22Z</dcterms:modified>
</cp:coreProperties>
</file>