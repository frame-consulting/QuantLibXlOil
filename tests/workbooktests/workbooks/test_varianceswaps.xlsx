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67A376FF-823F-4B2F-B2B5-A7B77A62823D}" xr6:coauthVersionLast="47" xr6:coauthVersionMax="47" xr10:uidLastSave="{00000000-0000-0000-0000-000000000000}"/>
  <bookViews>
    <workbookView xWindow="2505" yWindow="-20685" windowWidth="34665" windowHeight="18960" xr2:uid="{00000000-000D-0000-FFFF-FFFF00000000}"/>
  </bookViews>
  <sheets>
    <sheet name="VarianceSwap" sheetId="1" r:id="rId1"/>
  </sheets>
  <externalReferences>
    <externalReference r:id="rId2"/>
  </externalReferences>
  <definedNames>
    <definedName name="BlackScholesProcess">'[1]Market data'!$B$10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 a="1"/>
  <c r="B10" i="1" a="1"/>
  <c r="B2" i="1" a="1"/>
  <c r="B16" i="1" l="1"/>
  <c r="B10" i="1"/>
  <c r="B2" i="1"/>
  <c r="B15" i="1" a="1"/>
  <c r="B15" i="1" l="1"/>
  <c r="B14" i="1" a="1"/>
  <c r="B13" i="1" a="1"/>
  <c r="B13" i="1" l="1"/>
  <c r="B14" i="1"/>
  <c r="B8" i="1"/>
  <c r="B9" i="1" l="1"/>
  <c r="B27" i="1" a="1"/>
  <c r="B26" i="1" a="1"/>
  <c r="B26" i="1" l="1"/>
  <c r="B27" i="1"/>
  <c r="D33" i="1"/>
  <c r="C33" i="1"/>
  <c r="B33" i="1"/>
  <c r="D43" i="1" a="1"/>
  <c r="C43" i="1" a="1"/>
  <c r="B43" i="1" a="1"/>
  <c r="B29" i="1" a="1"/>
  <c r="B28" i="1" a="1"/>
  <c r="B43" i="1" l="1"/>
  <c r="C43" i="1"/>
  <c r="D43" i="1"/>
  <c r="B29" i="1"/>
  <c r="B28" i="1"/>
  <c r="B44" i="1" a="1"/>
  <c r="D44" i="1" a="1"/>
  <c r="C44" i="1" a="1"/>
  <c r="B30" i="1" a="1"/>
  <c r="C44" i="1" l="1"/>
  <c r="D44" i="1"/>
  <c r="B44" i="1"/>
  <c r="B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<sst xmlns="http://schemas.openxmlformats.org/spreadsheetml/2006/main" count="42" uniqueCount="35">
  <si>
    <t>position</t>
  </si>
  <si>
    <t>qPosition</t>
  </si>
  <si>
    <t>strike</t>
  </si>
  <si>
    <t>float</t>
  </si>
  <si>
    <t>notional</t>
  </si>
  <si>
    <t>start_date</t>
  </si>
  <si>
    <t>qDate</t>
  </si>
  <si>
    <t>maturity_date</t>
  </si>
  <si>
    <t>today</t>
  </si>
  <si>
    <t>set evaluationdate</t>
  </si>
  <si>
    <t>Long</t>
  </si>
  <si>
    <t>qlVarianceSwap</t>
  </si>
  <si>
    <t>discount curve</t>
  </si>
  <si>
    <t>dividend curve</t>
  </si>
  <si>
    <t>volatility</t>
  </si>
  <si>
    <t>S0</t>
  </si>
  <si>
    <t>qlGeneralizedBlackScholesProcess</t>
  </si>
  <si>
    <t>qlReplicatingVarianceSwapEngine</t>
  </si>
  <si>
    <t>call strikes</t>
  </si>
  <si>
    <t>put strikes</t>
  </si>
  <si>
    <t>dK</t>
  </si>
  <si>
    <t>NPV</t>
  </si>
  <si>
    <t>qlVarianceSwapVariance</t>
  </si>
  <si>
    <t>process</t>
  </si>
  <si>
    <t>traits</t>
  </si>
  <si>
    <t>LD</t>
  </si>
  <si>
    <t>time_steps</t>
  </si>
  <si>
    <t>time_steps_per_year</t>
  </si>
  <si>
    <t>brownian_bridge</t>
  </si>
  <si>
    <t>antithetic_variate</t>
  </si>
  <si>
    <t>required_samples</t>
  </si>
  <si>
    <t>required_tolerance</t>
  </si>
  <si>
    <t>max_samples</t>
  </si>
  <si>
    <t>seed</t>
  </si>
  <si>
    <t>qlMCEuropeanEngine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</si>
</sst>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ian\01_GitHub\sschlenkrich\QuantLibXlOil\tests\workbooktests\workbooks\test_options.xlsx" TargetMode="External"/><Relationship Id="rId1" Type="http://schemas.openxmlformats.org/officeDocument/2006/relationships/externalLinkPath" Target="test_o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 data"/>
      <sheetName val="Calculators"/>
      <sheetName val="DeltaVolQuote"/>
      <sheetName val="Vanilla &amp; Forward options"/>
      <sheetName val="Cash dividend engines"/>
      <sheetName val="American option engines"/>
      <sheetName val="Quanto options"/>
      <sheetName val="Multi-asset options"/>
      <sheetName val="Other options"/>
      <sheetName val="Heston engines"/>
      <sheetName val="Heston-Hull-White engines"/>
      <sheetName val="Binomial tree engine"/>
      <sheetName val="Finite Difference engines"/>
      <sheetName val="Monte Carlo engines"/>
      <sheetName val="QD engines"/>
      <sheetName val="Other engines"/>
    </sheetNames>
    <sheetDataSet>
      <sheetData sheetId="0">
        <row r="10">
          <cell r="B10" t="str">
            <v>欣[test_options.xlsx]Market data!R10C2GeneralizedBlackScholesProcess,A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/>
  </sheetViews>
  <sheetFormatPr defaultRowHeight="14.4" x14ac:dyDescent="0.3"/>
  <cols>
    <col min="1" max="1" width="31.21875" bestFit="1" customWidth="1"/>
    <col min="2" max="2" width="66.109375" style="1" customWidth="1"/>
    <col min="3" max="4" width="66.109375" customWidth="1"/>
  </cols>
  <sheetData>
    <row r="1" spans="1:3" x14ac:dyDescent="0.3">
      <c r="A1" t="s">
        <v>8</v>
      </c>
      <c r="B1" s="2">
        <v>46023</v>
      </c>
    </row>
    <row r="2" spans="1:3" x14ac:dyDescent="0.3">
      <c r="A2" t="s">
        <v>9</v>
      </c>
      <c r="B2" s="2" cm="1">
        <f t="array" ref="B2">_xll.qlSettingsSetEvaluationDate(B1)</f>
        <v>46023</v>
      </c>
    </row>
    <row r="5" spans="1:3" x14ac:dyDescent="0.3">
      <c r="A5" t="s">
        <v>0</v>
      </c>
      <c r="B5" s="1" t="s">
        <v>10</v>
      </c>
      <c r="C5" t="s">
        <v>1</v>
      </c>
    </row>
    <row r="6" spans="1:3" x14ac:dyDescent="0.3">
      <c r="A6" t="s">
        <v>2</v>
      </c>
      <c r="B6" s="1">
        <v>0.06</v>
      </c>
      <c r="C6" t="s">
        <v>3</v>
      </c>
    </row>
    <row r="7" spans="1:3" x14ac:dyDescent="0.3">
      <c r="A7" t="s">
        <v>4</v>
      </c>
      <c r="B7" s="1">
        <v>10000</v>
      </c>
      <c r="C7" t="s">
        <v>3</v>
      </c>
    </row>
    <row r="8" spans="1:3" x14ac:dyDescent="0.3">
      <c r="A8" t="s">
        <v>5</v>
      </c>
      <c r="B8" s="2">
        <f>B2+10</f>
        <v>46033</v>
      </c>
      <c r="C8" t="s">
        <v>6</v>
      </c>
    </row>
    <row r="9" spans="1:3" x14ac:dyDescent="0.3">
      <c r="A9" t="s">
        <v>7</v>
      </c>
      <c r="B9" s="2">
        <f>B8+365</f>
        <v>46398</v>
      </c>
      <c r="C9" t="s">
        <v>6</v>
      </c>
    </row>
    <row r="10" spans="1:3" x14ac:dyDescent="0.3">
      <c r="A10" s="3" t="s">
        <v>11</v>
      </c>
      <c r="B10" s="1" t="str" cm="1">
        <f t="array" ref="B10">_xll.qlVarianceSwap(B5,B6,B7,B8,B9)</f>
        <v>欣[test_varianceswaps.xlsx]Tabelle1!R10C2VarianceSwap,A</v>
      </c>
    </row>
    <row r="11" spans="1:3" x14ac:dyDescent="0.3">
      <c r="A11" s="3"/>
    </row>
    <row r="12" spans="1:3" x14ac:dyDescent="0.3">
      <c r="A12" t="s">
        <v>15</v>
      </c>
      <c r="B12" s="1">
        <v>100</v>
      </c>
    </row>
    <row r="13" spans="1:3" x14ac:dyDescent="0.3">
      <c r="A13" t="s">
        <v>13</v>
      </c>
      <c r="B13" s="1" t="str" cm="1">
        <f t="array" ref="B13">_xll.qlFlatForward(B2,0.01,"act/365")</f>
        <v>欣[test_varianceswaps.xlsx]Tabelle1!R13C2YieldTermStructureHandle,A</v>
      </c>
    </row>
    <row r="14" spans="1:3" x14ac:dyDescent="0.3">
      <c r="A14" t="s">
        <v>12</v>
      </c>
      <c r="B14" s="1" t="str" cm="1">
        <f t="array" ref="B14">_xll.qlFlatForward(B2,0.03,"act/365")</f>
        <v>欣[test_varianceswaps.xlsx]Tabelle1!R14C2YieldTermStructureHandle,A</v>
      </c>
    </row>
    <row r="15" spans="1:3" x14ac:dyDescent="0.3">
      <c r="A15" t="s">
        <v>14</v>
      </c>
      <c r="B15" s="1" t="str" cm="1">
        <f t="array" ref="B15">_xll.qlBlackConstantVol(B2,"NullCalendar",0.25,"Act/365")</f>
        <v>欣[test_varianceswaps.xlsx]Tabelle1!R15C2BlackVolTermStructureHandle,A</v>
      </c>
    </row>
    <row r="16" spans="1:3" x14ac:dyDescent="0.3">
      <c r="A16" s="3" t="s">
        <v>16</v>
      </c>
      <c r="B16" s="1" t="str" cm="1">
        <f t="array" ref="B16">_xll.qlGeneralizedBlackScholesProcess(B12,B13,B14,B15)</f>
        <v>欣[test_varianceswaps.xlsx]Tabelle1!R16C2GeneralizedBlackScholesProcess,A</v>
      </c>
    </row>
    <row r="18" spans="1:2" x14ac:dyDescent="0.3">
      <c r="A18" t="s">
        <v>19</v>
      </c>
      <c r="B18" s="1">
        <v>80</v>
      </c>
    </row>
    <row r="19" spans="1:2" x14ac:dyDescent="0.3">
      <c r="B19" s="1">
        <v>90</v>
      </c>
    </row>
    <row r="20" spans="1:2" x14ac:dyDescent="0.3">
      <c r="B20" s="1">
        <v>100</v>
      </c>
    </row>
    <row r="21" spans="1:2" x14ac:dyDescent="0.3">
      <c r="A21" t="s">
        <v>18</v>
      </c>
      <c r="B21" s="1">
        <v>100</v>
      </c>
    </row>
    <row r="22" spans="1:2" x14ac:dyDescent="0.3">
      <c r="B22" s="1">
        <v>120</v>
      </c>
    </row>
    <row r="23" spans="1:2" x14ac:dyDescent="0.3">
      <c r="B23" s="1">
        <v>150</v>
      </c>
    </row>
    <row r="25" spans="1:2" x14ac:dyDescent="0.3">
      <c r="A25" t="s">
        <v>20</v>
      </c>
      <c r="B25" s="1">
        <v>5</v>
      </c>
    </row>
    <row r="26" spans="1:2" x14ac:dyDescent="0.3">
      <c r="A26" s="3" t="s">
        <v>17</v>
      </c>
      <c r="B26" s="1" t="str" cm="1">
        <f t="array" ref="B26">_xll.qlReplicatingVarianceSwapEngine(B16,,B21:B23,B18:B20)</f>
        <v>欣[test_varianceswaps.xlsx]Tabelle1!R26C2ReplicatingVarianceSwapEngine,A</v>
      </c>
    </row>
    <row r="27" spans="1:2" x14ac:dyDescent="0.3">
      <c r="A27" s="3" t="s">
        <v>17</v>
      </c>
      <c r="B27" s="1" t="str" cm="1">
        <f t="array" ref="B27">_xll.qlReplicatingVarianceSwapEngine(B16,B25,B21:B23,B18:B20)</f>
        <v>欣[test_varianceswaps.xlsx]Tabelle1!R27C2ReplicatingVarianceSwapEngine,A</v>
      </c>
    </row>
    <row r="28" spans="1:2" x14ac:dyDescent="0.3">
      <c r="A28" t="s">
        <v>21</v>
      </c>
      <c r="B28" s="5" cm="1">
        <f t="array" ref="B28">_xll.qlInstrumentNPV(B10,_xll.qlInstrumentSetPricingEngine(B10,B26))</f>
        <v>0.75160862946518481</v>
      </c>
    </row>
    <row r="29" spans="1:2" x14ac:dyDescent="0.3">
      <c r="A29" t="s">
        <v>21</v>
      </c>
      <c r="B29" s="5" cm="1">
        <f t="array" ref="B29">_xll.qlInstrumentNPV(B10,_xll.qlInstrumentSetPricingEngine(B10,B27))</f>
        <v>0.75160862946518481</v>
      </c>
    </row>
    <row r="30" spans="1:2" x14ac:dyDescent="0.3">
      <c r="A30" s="3" t="s">
        <v>22</v>
      </c>
      <c r="B30" s="4" cm="1">
        <f t="array" ref="B30">_xll.qlVarianceSwapVariance(B10,B28)</f>
        <v>6.25E-2</v>
      </c>
    </row>
    <row r="33" spans="1:4" x14ac:dyDescent="0.3">
      <c r="A33" t="s">
        <v>23</v>
      </c>
      <c r="B33" s="6" t="str">
        <f>B16</f>
        <v>欣[test_varianceswaps.xlsx]Tabelle1!R16C2GeneralizedBlackScholesProcess,A</v>
      </c>
      <c r="C33" s="6" t="str">
        <f>B16</f>
        <v>欣[test_varianceswaps.xlsx]Tabelle1!R16C2GeneralizedBlackScholesProcess,A</v>
      </c>
      <c r="D33" s="6" t="str">
        <f>B16</f>
        <v>欣[test_varianceswaps.xlsx]Tabelle1!R16C2GeneralizedBlackScholesProcess,A</v>
      </c>
    </row>
    <row r="34" spans="1:4" x14ac:dyDescent="0.3">
      <c r="A34" t="s">
        <v>24</v>
      </c>
      <c r="B34" s="6" t="s">
        <v>25</v>
      </c>
      <c r="C34" s="6" t="s">
        <v>25</v>
      </c>
      <c r="D34" s="6" t="s">
        <v>25</v>
      </c>
    </row>
    <row r="35" spans="1:4" x14ac:dyDescent="0.3">
      <c r="A35" t="s">
        <v>26</v>
      </c>
      <c r="B35">
        <v>100</v>
      </c>
      <c r="D35">
        <v>100</v>
      </c>
    </row>
    <row r="36" spans="1:4" x14ac:dyDescent="0.3">
      <c r="A36" t="s">
        <v>27</v>
      </c>
      <c r="B36"/>
      <c r="C36">
        <v>4</v>
      </c>
    </row>
    <row r="37" spans="1:4" x14ac:dyDescent="0.3">
      <c r="A37" t="s">
        <v>28</v>
      </c>
      <c r="B37"/>
      <c r="D37" t="b">
        <v>1</v>
      </c>
    </row>
    <row r="38" spans="1:4" x14ac:dyDescent="0.3">
      <c r="A38" t="s">
        <v>29</v>
      </c>
      <c r="B38"/>
      <c r="D38" t="b">
        <v>1</v>
      </c>
    </row>
    <row r="39" spans="1:4" x14ac:dyDescent="0.3">
      <c r="A39" t="s">
        <v>30</v>
      </c>
      <c r="B39">
        <v>1000</v>
      </c>
      <c r="D39">
        <v>1000</v>
      </c>
    </row>
    <row r="40" spans="1:4" x14ac:dyDescent="0.3">
      <c r="A40" t="s">
        <v>31</v>
      </c>
      <c r="B40"/>
      <c r="C40">
        <v>0.5</v>
      </c>
      <c r="D40" s="7">
        <v>0.5</v>
      </c>
    </row>
    <row r="41" spans="1:4" x14ac:dyDescent="0.3">
      <c r="A41" t="s">
        <v>32</v>
      </c>
      <c r="B41"/>
      <c r="D41">
        <v>2000</v>
      </c>
    </row>
    <row r="42" spans="1:4" x14ac:dyDescent="0.3">
      <c r="A42" t="s">
        <v>33</v>
      </c>
      <c r="B42"/>
      <c r="D42">
        <v>123</v>
      </c>
    </row>
    <row r="43" spans="1:4" x14ac:dyDescent="0.3">
      <c r="A43" s="3" t="s">
        <v>34</v>
      </c>
      <c r="B43" s="6" t="str" cm="1">
        <f t="array" ref="B43">_xll.qlMCVarianceSwapEngine(B33,B34,B35,,,,B39)</f>
        <v>欣[test_varianceswaps.xlsx]Tabelle1!R43C2MCLDVarianceSwapEngine,A</v>
      </c>
      <c r="C43" s="6" t="str" cm="1">
        <f t="array" ref="C43">_xll.qlMCVarianceSwapEngine(C33,C34,,C36,,,,C40)</f>
        <v>欣[test_varianceswaps.xlsx]Tabelle1!R43C3MCLDVarianceSwapEngine,A</v>
      </c>
      <c r="D43" s="6" t="str" cm="1">
        <f t="array" ref="D43">_xll.qlMCVarianceSwapEngine(D33,D34,D35,,D37,D38,D39,D40,D41,D42)</f>
        <v>欣[test_varianceswaps.xlsx]Tabelle1!R43C4MCLDVarianceSwapEngine,A</v>
      </c>
    </row>
    <row r="44" spans="1:4" x14ac:dyDescent="0.3">
      <c r="A44" t="s">
        <v>21</v>
      </c>
      <c r="B44" s="5" cm="1">
        <f t="array" ref="B44">_xll.qlInstrumentNPV($B$10,_xll.qlInstrumentSetPricingEngine($B$10,B43))</f>
        <v>24.241205869612244</v>
      </c>
      <c r="C44" s="5" cm="1">
        <f t="array" ref="C44">_xll.qlInstrumentNPV($B$10,_xll.qlInstrumentSetPricingEngine($B$10,C43))</f>
        <v>24.241205869612244</v>
      </c>
      <c r="D44" s="5" cm="1">
        <f t="array" ref="D44">_xll.qlInstrumentNPV($B$10,_xll.qlInstrumentSetPricingEngine($B$10,D43))</f>
        <v>24.241205869612244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Schlenkrich</cp:lastModifiedBy>
  <dcterms:created xsi:type="dcterms:W3CDTF">2015-06-05T18:19:34Z</dcterms:created>
  <dcterms:modified xsi:type="dcterms:W3CDTF">2026-10-30T10:29:22Z</dcterms:modified>
</cp:coreProperties>
</file>