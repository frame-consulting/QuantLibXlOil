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ebastian\01_GitHub\sschlenkrich\QuantLibXlOil\tests\workbooktests\workbooks\"/>
    </mc:Choice>
  </mc:AlternateContent>
  <xr:revisionPtr revIDLastSave="0" documentId="13_ncr:1_{819ECE1B-DF43-4213-8CD3-9EA91302FBCE}" xr6:coauthVersionLast="47" xr6:coauthVersionMax="47" xr10:uidLastSave="{00000000-0000-0000-0000-000000000000}"/>
  <bookViews>
    <workbookView xWindow="16605" yWindow="-20685" windowWidth="20565" windowHeight="18960" xr2:uid="{00000000-000D-0000-FFFF-FFFF00000000}"/>
  </bookViews>
  <sheets>
    <sheet name="MultiCur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1" l="1" a="1"/>
  <c r="C14" i="1" a="1"/>
  <c r="B15" i="1" a="1"/>
  <c r="B9" i="1" a="1"/>
  <c r="B8" i="1" a="1"/>
  <c r="B12" i="1" a="1"/>
  <c r="B7" i="1" a="1"/>
  <c r="B6" i="1" a="1"/>
  <c r="B2" i="1" a="1"/>
  <c r="C15" i="1" l="1"/>
  <c r="C14" i="1"/>
  <c r="B15" i="1"/>
  <c r="B9" i="1"/>
  <c r="B8" i="1"/>
  <c r="B12" i="1"/>
  <c r="B7" i="1"/>
  <c r="B6" i="1"/>
  <c r="B2" i="1"/>
  <c r="B4" i="1" a="1"/>
  <c r="B4" i="1" l="1"/>
  <c r="B14" i="1" a="1"/>
  <c r="B1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<sst xmlns="http://schemas.openxmlformats.org/spreadsheetml/2006/main" count="9" uniqueCount="9">
  <si>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today</t>
  </si>
  <si>
    <t>set evalutiondate</t>
  </si>
  <si>
    <t>NonBootstrappedCurve</t>
  </si>
  <si>
    <t>Accuracy</t>
  </si>
  <si>
    <t>qlMultiCurve</t>
  </si>
  <si>
    <t>qlMultiCurveAddNonBootstrappedCurve</t>
  </si>
  <si>
    <t>qlGlobalBootstrap</t>
  </si>
  <si>
    <t>qlGlobalPiecewiseYieldCurve (BootstrappedCurve)</t>
  </si>
  <si>
    <t>qlMultiCurveAddBootstrappedCurve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</si>
</sst>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/>
  </sheetViews>
  <sheetFormatPr defaultRowHeight="14.4" x14ac:dyDescent="0.3"/>
  <cols>
    <col min="1" max="1" width="46" bestFit="1" customWidth="1"/>
    <col min="2" max="2" width="62.44140625" style="1" customWidth="1"/>
  </cols>
  <sheetData>
    <row r="1" spans="1:3" x14ac:dyDescent="0.3">
      <c r="A1" t="s">
        <v>0</v>
      </c>
      <c r="B1" s="2">
        <v>46235</v>
      </c>
    </row>
    <row r="2" spans="1:3" x14ac:dyDescent="0.3">
      <c r="A2" t="s">
        <v>1</v>
      </c>
      <c r="B2" s="2" cm="1">
        <f t="array" ref="B2">_xll.qlSettingsSetEvaluationDate(B1)</f>
        <v>46235</v>
      </c>
    </row>
    <row r="4" spans="1:3" x14ac:dyDescent="0.3">
      <c r="A4" t="s">
        <v>2</v>
      </c>
      <c r="B4" s="1" t="str" cm="1">
        <f t="array" ref="B4">_xll.qlFlatForward(B2,0.03,"act/365")</f>
        <v>欣[test_multicurve.xlsx]Tabelle1!R4C2YieldTermStructureHandle,A</v>
      </c>
    </row>
    <row r="6" spans="1:3" x14ac:dyDescent="0.3">
      <c r="B6" s="1" t="str" cm="1">
        <f t="array" ref="B6">_xll.qlDepositRateHelper(0.03,"1Y",0,"Target","Following",FALSE,"Act/360")</f>
        <v>欣[test_multicurve.xlsx]Tabelle1!R6C2DepositRateHelper,A</v>
      </c>
    </row>
    <row r="7" spans="1:3" x14ac:dyDescent="0.3">
      <c r="B7" s="1" t="str" cm="1">
        <f t="array" ref="B7">_xll.qlDepositRateHelper(0.03,"10Y",0,"Target","Following",FALSE,"Act/360")</f>
        <v>欣[test_multicurve.xlsx]Tabelle1!R7C2DepositRateHelper,A</v>
      </c>
    </row>
    <row r="8" spans="1:3" x14ac:dyDescent="0.3">
      <c r="A8" s="4" t="s">
        <v>6</v>
      </c>
      <c r="B8" t="str" cm="1">
        <f t="array" ref="B8">_xll.qlGlobalBootstrap()</f>
        <v>欣[test_multicurve.xlsx]Tabelle1!R8C2GlobalBootstrap,C</v>
      </c>
    </row>
    <row r="9" spans="1:3" x14ac:dyDescent="0.3">
      <c r="A9" s="4" t="s">
        <v>7</v>
      </c>
      <c r="B9" t="str" cm="1">
        <f t="array" ref="B9">_xll.qlGlobalPiecewiseYieldCurve(B2,B6:B7,"Act/365","ZeroRate","Linear",B8)</f>
        <v>欣[test_multicurve.xlsx]Tabelle1!R9C2YieldTermStructureHandle,A</v>
      </c>
    </row>
    <row r="11" spans="1:3" x14ac:dyDescent="0.3">
      <c r="A11" t="s">
        <v>3</v>
      </c>
      <c r="B11" s="3">
        <v>1E-8</v>
      </c>
    </row>
    <row r="12" spans="1:3" x14ac:dyDescent="0.3">
      <c r="A12" s="4" t="s">
        <v>4</v>
      </c>
      <c r="B12" s="1" t="str" cm="1">
        <f t="array" ref="B12">_xll.qlMultiCurve(B11)</f>
        <v>欣[test_multicurve.xlsx]Tabelle1!R12C2MultiCurve,A</v>
      </c>
    </row>
    <row r="14" spans="1:3" x14ac:dyDescent="0.3">
      <c r="A14" s="4" t="s">
        <v>5</v>
      </c>
      <c r="B14" s="1" t="str" cm="1">
        <f t="array" ref="B14">_xll.qlMultiCurveAddNonBootstrappedCurve(B12,_xll.qlRelinkableYieldTermStructureHandle(),B4)</f>
        <v>欣[test_multicurve.xlsx]Tabelle1!R14C2YieldTermStructureHandle,A</v>
      </c>
      <c r="C14" cm="1">
        <f t="array" ref="C14">_xll.qlYieldTermStructureDiscount(B14,B2+1)</f>
        <v>0.99991781159682991</v>
      </c>
    </row>
    <row r="15" spans="1:3" x14ac:dyDescent="0.3">
      <c r="A15" s="4" t="s">
        <v>8</v>
      </c>
      <c r="B15" s="1" t="str" cm="1">
        <f t="array" ref="B15">_xll.qlMultiCurveAddBootstrappedCurve(B12,_xll.qlRelinkableYieldTermStructureHandle(),B9)</f>
        <v>欣[test_multicurve.xlsx]Tabelle1!R15C2YieldTermStructureHandle,A</v>
      </c>
      <c r="C15" cm="1">
        <f t="array" ref="C15">_xll.qlYieldTermStructureDiscount(B15,B2+1)</f>
        <v>0.99991791227024407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 Schlenkrich</cp:lastModifiedBy>
  <dcterms:created xsi:type="dcterms:W3CDTF">2015-06-05T18:19:34Z</dcterms:created>
  <dcterms:modified xsi:type="dcterms:W3CDTF">2026-10-30T09:29:55Z</dcterms:modified>
</cp:coreProperties>
</file>